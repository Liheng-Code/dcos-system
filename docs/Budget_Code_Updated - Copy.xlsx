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3.xml.rels" ContentType="application/vnd.openxmlformats-package.relationships+xml"/>
  <Override PartName="/xl/worksheets/_rels/sheet4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4" activeTab="4"/>
  </bookViews>
  <sheets>
    <sheet name="Floor Code (2)" sheetId="1" state="hidden" r:id="rId3"/>
    <sheet name="Floor Code" sheetId="2" state="hidden" r:id="rId4"/>
    <sheet name="CS BoQ Level" sheetId="3" state="hidden" r:id="rId5"/>
    <sheet name="RFQ_Rawdata" sheetId="4" state="hidden" r:id="rId6"/>
    <sheet name="Takeoff_Rawdata" sheetId="5" state="visible" r:id="rId7"/>
    <sheet name="Site Data" sheetId="6" state="visible" r:id="rId8"/>
    <sheet name="Preliminaries" sheetId="7" state="visible" r:id="rId9"/>
    <sheet name="Staff Schedule" sheetId="8" state="visible" r:id="rId10"/>
    <sheet name="Temp Utilities" sheetId="9" state="visible" r:id="rId11"/>
    <sheet name="BU Z.01.01" sheetId="10" state="visible" r:id="rId12"/>
    <sheet name="BU Z.01.02" sheetId="11" state="visible" r:id="rId13"/>
    <sheet name="BU Z.01.03" sheetId="12" state="visible" r:id="rId14"/>
    <sheet name="BU Z.01.04" sheetId="13" state="visible" r:id="rId15"/>
    <sheet name="BU Z.01.05" sheetId="14" state="visible" r:id="rId16"/>
    <sheet name="BU Z.01.06" sheetId="15" state="visible" r:id="rId17"/>
    <sheet name="BU Z.01.08" sheetId="16" state="visible" r:id="rId18"/>
    <sheet name="BU Z.50" sheetId="17" state="visible" r:id="rId19"/>
    <sheet name="Budget Code" sheetId="18" state="visible" r:id="rId20"/>
    <sheet name="Sheet1" sheetId="19" state="hidden" r:id="rId21"/>
    <sheet name="main truss" sheetId="20" state="hidden" r:id="rId22"/>
    <sheet name="Level" sheetId="21" state="hidden" r:id="rId23"/>
    <sheet name="ground beam" sheetId="22" state="hidden" r:id="rId24"/>
    <sheet name="mz beam" sheetId="23" state="hidden" r:id="rId25"/>
    <sheet name="rebar weight" sheetId="24" state="hidden" r:id="rId26"/>
    <sheet name="1F,2F beam" sheetId="25" state="hidden" r:id="rId27"/>
    <sheet name="3F beam" sheetId="26" state="hidden" r:id="rId28"/>
    <sheet name="4F beam" sheetId="27" state="hidden" r:id="rId29"/>
    <sheet name="5F&amp;6F beam" sheetId="28" state="hidden" r:id="rId30"/>
    <sheet name="7F,8F,9F beam" sheetId="29" state="hidden" r:id="rId31"/>
    <sheet name="10F beam" sheetId="30" state="hidden" r:id="rId32"/>
    <sheet name="TR beam" sheetId="31" state="hidden" r:id="rId33"/>
    <sheet name="RR beam" sheetId="32" state="hidden" r:id="rId34"/>
    <sheet name="Sheet6 (2)" sheetId="33" state="hidden" r:id="rId35"/>
    <sheet name="bored pile" sheetId="34" state="hidden" r:id="rId36"/>
    <sheet name="pile cap" sheetId="35" state="hidden" r:id="rId37"/>
    <sheet name="Stump" sheetId="36" state="hidden" r:id="rId38"/>
    <sheet name="Column GF" sheetId="37" state="hidden" r:id="rId39"/>
    <sheet name="Column MF" sheetId="38" state="hidden" r:id="rId40"/>
    <sheet name="Column 1F" sheetId="39" state="hidden" r:id="rId41"/>
    <sheet name="Column 2F" sheetId="40" state="hidden" r:id="rId42"/>
    <sheet name="Column 3F " sheetId="41" state="hidden" r:id="rId43"/>
    <sheet name="Column 4F" sheetId="42" state="hidden" r:id="rId44"/>
    <sheet name="Column 5F&amp;6F" sheetId="43" state="hidden" r:id="rId45"/>
    <sheet name="Column 7F,8F,9F" sheetId="44" state="hidden" r:id="rId46"/>
    <sheet name="TR Column" sheetId="45" state="hidden" r:id="rId47"/>
    <sheet name="Column TF" sheetId="46" state="hidden" r:id="rId48"/>
    <sheet name="GF wall" sheetId="47" state="hidden" r:id="rId49"/>
    <sheet name="TF wall" sheetId="48" state="hidden" r:id="rId50"/>
    <sheet name="TR wall" sheetId="49" state="hidden" r:id="rId51"/>
    <sheet name="4F to 6F wall" sheetId="50" state="hidden" r:id="rId52"/>
    <sheet name="GF Staircase" sheetId="51" state="hidden" r:id="rId53"/>
    <sheet name="Concrete Type" sheetId="52" state="hidden" r:id="rId54"/>
    <sheet name="PTB Code" sheetId="53" state="hidden" r:id="rId55"/>
    <sheet name="Design Stage" sheetId="54" state="hidden" r:id="rId56"/>
    <sheet name="Building Code" sheetId="55" state="hidden" r:id="rId57"/>
    <sheet name="DPCache_Raw Data" sheetId="56" state="hidden" r:id="rId58"/>
  </sheets>
  <definedNames>
    <definedName function="false" hidden="false" localSheetId="3" name="_xlnm.Print_Area" vbProcedure="false">RFQ_Rawdata!$A$1:$M$136</definedName>
    <definedName function="false" hidden="true" localSheetId="3" name="_xlnm._FilterDatabase" vbProcedure="false">RFQ_Rawdata!$A$2:$M$136</definedName>
    <definedName function="false" hidden="false" name="A" vbProcedure="false">#REF!,#REF!,#REF!</definedName>
    <definedName function="false" hidden="false" name="AAA" vbProcedure="false">#REF!,#REF!,#REF!</definedName>
    <definedName function="false" hidden="false" name="ALl" vbProcedure="false">#REF!</definedName>
    <definedName function="false" hidden="false" name="CHFL" vbProcedure="false">#REF!</definedName>
    <definedName function="false" hidden="false" name="DHFL" vbProcedure="false">#REF!</definedName>
    <definedName function="false" hidden="false" name="FLCODE" vbProcedure="false">#REF!</definedName>
    <definedName function="false" hidden="false" name="JHFL" vbProcedure="false">#REF!</definedName>
    <definedName function="false" hidden="false" name="LHFL" vbProcedure="false">#REF!</definedName>
    <definedName function="false" hidden="false" name="LOCATION" vbProcedure="false">#REF!</definedName>
    <definedName function="false" hidden="false" name="MHFL" vbProcedure="false">#REF!</definedName>
    <definedName function="false" hidden="false" name="MM" vbProcedure="false">#REF!,#REF!,#REF!,#REF!,#REF!,#REF!,#REF!,#REF!,#REF!,#REF!,#REF!,#REF!,#REF!,#REF!,#REF!,#REF!,#REF!,#REF!,#REF!,#REF!,#REF!,#REF!,#REF!,#REF!,#REF!,#REF!,#REF!,#REF!,#REF!,#REF!</definedName>
    <definedName function="false" hidden="false" name="PHFL" vbProcedure="false">#REF!</definedName>
    <definedName function="false" hidden="false" name="PLFL" vbProcedure="false">#REF!</definedName>
    <definedName function="false" hidden="false" name="Slicer_Level1" vbProcedure="false">#N/A</definedName>
    <definedName function="false" hidden="false" name="Slicer_Material_Type" vbProcedure="false">#N/A</definedName>
    <definedName function="false" hidden="false" name="Slicer_Material_Type1" vbProcedure="false">#N/A</definedName>
    <definedName function="false" hidden="false" name="Slicer_Section1" vbProcedure="false">#N/A</definedName>
    <definedName function="false" hidden="false" name="Slicer_Sub_Element" vbProcedure="false">#N/A</definedName>
    <definedName function="false" hidden="false" name="Slicer_Sub_Element1" vbProcedure="false">#N/A</definedName>
    <definedName function="false" hidden="false" name="Slicer_Sub_Section1" vbProcedure="false">#N/A</definedName>
    <definedName function="false" hidden="false" name="test" vbProcedure="false">#REF!,#REF!,#REF!,#REF!,#REF!,#REF!,#REF!,#REF!,#REF!,#REF!,#REF!,#REF!,#REF!,#REF!,#REF!,#REF!,#REF!,#REF!,#REF!,#REF!,#REF!,#REF!,#REF!,#REF!,#REF!,#REF!,#REF!,#REF!,#REF!,#REF!,#REF!,#REF!,#REF!</definedName>
    <definedName function="false" hidden="false" localSheetId="3" name="A" vbProcedure="false">#REF!,#REF!,#REF!</definedName>
    <definedName function="false" hidden="false" localSheetId="3" name="AAA" vbProcedure="false">#REF!,#REF!,#REF!</definedName>
    <definedName function="false" hidden="false" localSheetId="3" name="ALl" vbProcedure="false">#REF!</definedName>
    <definedName function="false" hidden="false" localSheetId="3" name="CHFL" vbProcedure="false">#REF!</definedName>
    <definedName function="false" hidden="false" localSheetId="3" name="DHFL" vbProcedure="false">#REF!</definedName>
    <definedName function="false" hidden="false" localSheetId="3" name="FLCODE" vbProcedure="false">#REF!</definedName>
    <definedName function="false" hidden="false" localSheetId="3" name="JHFL" vbProcedure="false">#REF!</definedName>
    <definedName function="false" hidden="false" localSheetId="3" name="LHFL" vbProcedure="false">#REF!</definedName>
    <definedName function="false" hidden="false" localSheetId="3" name="LOCATION" vbProcedure="false">#REF!</definedName>
    <definedName function="false" hidden="false" localSheetId="3" name="MHFL" vbProcedure="false">#REF!</definedName>
    <definedName function="false" hidden="false" localSheetId="3" name="MM" vbProcedure="false">#REF!,#REF!,#REF!,#REF!,#REF!,#REF!,#REF!,#REF!,#REF!,#REF!,#REF!,#REF!,#REF!,#REF!,#REF!,#REF!,#REF!,#REF!,#REF!,#REF!,#REF!,#REF!,#REF!,#REF!,#REF!,#REF!,#REF!,#REF!,#REF!,#REF!</definedName>
    <definedName function="false" hidden="false" localSheetId="3" name="PHFL" vbProcedure="false">#REF!</definedName>
    <definedName function="false" hidden="false" localSheetId="3" name="PLFL" vbProcedure="false">#REF!</definedName>
    <definedName function="false" hidden="false" localSheetId="3" name="test" vbProcedure="false">#REF!,#REF!,#REF!,#REF!,#REF!,#REF!,#REF!,#REF!,#REF!,#REF!,#REF!,#REF!,#REF!,#REF!,#REF!,#REF!,#REF!,#REF!,#REF!,#REF!,#REF!,#REF!,#REF!,#REF!,#REF!,#REF!,#REF!,#REF!,#REF!,#REF!,#REF!,#REF!,#REF!</definedName>
  </definedNames>
  <calcPr iterateCount="100" refMode="A1" iterate="false" iterateDelta="0.0001"/>
  <pivotCaches>
    <pivotCache cacheId="1" r:id="rId6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<sst xmlns="http://schemas.openxmlformats.org/spreadsheetml/2006/main" count="7496" uniqueCount="1233">
  <si>
    <t xml:space="preserve">Floor Code</t>
  </si>
  <si>
    <t xml:space="preserve">Building Code</t>
  </si>
  <si>
    <t xml:space="preserve">Sequence Number</t>
  </si>
  <si>
    <t xml:space="preserve">Level Code on Design </t>
  </si>
  <si>
    <t xml:space="preserve">BA</t>
  </si>
  <si>
    <t xml:space="preserve">01</t>
  </si>
  <si>
    <t xml:space="preserve">U01</t>
  </si>
  <si>
    <t xml:space="preserve">02</t>
  </si>
  <si>
    <t xml:space="preserve">B02</t>
  </si>
  <si>
    <t xml:space="preserve">03</t>
  </si>
  <si>
    <t xml:space="preserve">B01</t>
  </si>
  <si>
    <t xml:space="preserve">04</t>
  </si>
  <si>
    <t xml:space="preserve">L00</t>
  </si>
  <si>
    <t xml:space="preserve">05</t>
  </si>
  <si>
    <t xml:space="preserve">L01</t>
  </si>
  <si>
    <t xml:space="preserve">06</t>
  </si>
  <si>
    <t xml:space="preserve">L02</t>
  </si>
  <si>
    <t xml:space="preserve">07</t>
  </si>
  <si>
    <t xml:space="preserve">L03</t>
  </si>
  <si>
    <t xml:space="preserve">08</t>
  </si>
  <si>
    <t xml:space="preserve">L04</t>
  </si>
  <si>
    <t xml:space="preserve">09</t>
  </si>
  <si>
    <t xml:space="preserve">L05</t>
  </si>
  <si>
    <t xml:space="preserve">Floor Naming</t>
  </si>
  <si>
    <t xml:space="preserve">Building Name</t>
  </si>
  <si>
    <t xml:space="preserve">Level</t>
  </si>
  <si>
    <t xml:space="preserve">Level Function</t>
  </si>
  <si>
    <t xml:space="preserve">CFA (m2)</t>
  </si>
  <si>
    <t xml:space="preserve">Level Code</t>
  </si>
  <si>
    <t xml:space="preserve">Civil and Structure Level Breakdown</t>
  </si>
  <si>
    <t xml:space="preserve">Discipline</t>
  </si>
  <si>
    <t xml:space="preserve">Section </t>
  </si>
  <si>
    <t xml:space="preserve">Sub Section </t>
  </si>
  <si>
    <t xml:space="preserve">Material Type</t>
  </si>
  <si>
    <t xml:space="preserve">Unit</t>
  </si>
  <si>
    <t xml:space="preserve">Civil and Structure</t>
  </si>
  <si>
    <t xml:space="preserve">Foundation</t>
  </si>
  <si>
    <t xml:space="preserve">Pile</t>
  </si>
  <si>
    <t xml:space="preserve">D1000 Concrete Grade C30/37</t>
  </si>
  <si>
    <t xml:space="preserve">m</t>
  </si>
  <si>
    <t xml:space="preserve">D400 Concrete Grade C30/37</t>
  </si>
  <si>
    <t xml:space="preserve">D600 Concrete Grade C30/37</t>
  </si>
  <si>
    <t xml:space="preserve">D800 Concrete Grade C30/37</t>
  </si>
  <si>
    <t xml:space="preserve">Pile Caps</t>
  </si>
  <si>
    <t xml:space="preserve">Anti-Termite</t>
  </si>
  <si>
    <t xml:space="preserve">m2</t>
  </si>
  <si>
    <t xml:space="preserve">Concrete Grade C40/50</t>
  </si>
  <si>
    <t xml:space="preserve">m3</t>
  </si>
  <si>
    <t xml:space="preserve">Rebar DB10 SD390</t>
  </si>
  <si>
    <t xml:space="preserve">kg</t>
  </si>
  <si>
    <t xml:space="preserve">Rebar DB12 SD390</t>
  </si>
  <si>
    <t xml:space="preserve">Rebar DB16 SD390</t>
  </si>
  <si>
    <t xml:space="preserve">Rebar DB20 SD390</t>
  </si>
  <si>
    <t xml:space="preserve">Rebar DB25 SD390</t>
  </si>
  <si>
    <t xml:space="preserve">Rebar DB8 SD235</t>
  </si>
  <si>
    <t xml:space="preserve">Excavation</t>
  </si>
  <si>
    <t xml:space="preserve">Gravel 4x6cm Compaction 100mm thk. &amp; Concrete Grade C25/30 50mm thk.</t>
  </si>
  <si>
    <t xml:space="preserve">Plywood Formwork</t>
  </si>
  <si>
    <t xml:space="preserve">Temperary Protection</t>
  </si>
  <si>
    <t xml:space="preserve">H-Beam(400x400x13x21)mm, SD365</t>
  </si>
  <si>
    <t xml:space="preserve">Steel sheet piles (6x0.75)m</t>
  </si>
  <si>
    <t xml:space="preserve">Sub Structure</t>
  </si>
  <si>
    <t xml:space="preserve">Sewage Treatment Plant (STP)</t>
  </si>
  <si>
    <t xml:space="preserve">Normal Concrete, C35/45 Mpa</t>
  </si>
  <si>
    <t xml:space="preserve">Retaining Wall</t>
  </si>
  <si>
    <t xml:space="preserve">Sika Waterbar</t>
  </si>
  <si>
    <t xml:space="preserve">Water Tank</t>
  </si>
  <si>
    <t xml:space="preserve">Concrete Grade C35/45</t>
  </si>
  <si>
    <t xml:space="preserve">Super Structure</t>
  </si>
  <si>
    <t xml:space="preserve">Beam</t>
  </si>
  <si>
    <t xml:space="preserve">W(8x10)cm Steel ASTM A992</t>
  </si>
  <si>
    <t xml:space="preserve">Column</t>
  </si>
  <si>
    <t xml:space="preserve">W(150x29)cm Steel ASTM A992</t>
  </si>
  <si>
    <t xml:space="preserve">Floor</t>
  </si>
  <si>
    <t xml:space="preserve">Rebar RB8 SD235</t>
  </si>
  <si>
    <t xml:space="preserve">Stair</t>
  </si>
  <si>
    <t xml:space="preserve">Structural Walls</t>
  </si>
  <si>
    <t xml:space="preserve">External Work</t>
  </si>
  <si>
    <t xml:space="preserve">Canopy</t>
  </si>
  <si>
    <t xml:space="preserve">Roofing</t>
  </si>
  <si>
    <t xml:space="preserve">U-Drain</t>
  </si>
  <si>
    <t xml:space="preserve">Manhole</t>
  </si>
  <si>
    <t xml:space="preserve">Road</t>
  </si>
  <si>
    <t xml:space="preserve">Permanent Fence</t>
  </si>
  <si>
    <t xml:space="preserve">Logo Support</t>
  </si>
  <si>
    <t xml:space="preserve">Design Data</t>
  </si>
  <si>
    <t xml:space="preserve">RFQ DATA</t>
  </si>
  <si>
    <t xml:space="preserve">Remark</t>
  </si>
  <si>
    <t xml:space="preserve">Sub Section</t>
  </si>
  <si>
    <t xml:space="preserve">Sub Element</t>
  </si>
  <si>
    <t xml:space="preserve">Designated Brand</t>
  </si>
  <si>
    <t xml:space="preserve">Supplier ID</t>
  </si>
  <si>
    <t xml:space="preserve">Proposed Brand</t>
  </si>
  <si>
    <t xml:space="preserve">Specification</t>
  </si>
  <si>
    <t xml:space="preserve">Labor Rate </t>
  </si>
  <si>
    <t xml:space="preserve">Material Rate </t>
  </si>
  <si>
    <t xml:space="preserve">RQF No</t>
  </si>
  <si>
    <t xml:space="preserve">Submit by</t>
  </si>
  <si>
    <t xml:space="preserve">Submit Date</t>
  </si>
  <si>
    <t xml:space="preserve">Bored Pile</t>
  </si>
  <si>
    <t xml:space="preserve">Preliminary Works</t>
  </si>
  <si>
    <t xml:space="preserve">Mobilization and Demobilization </t>
  </si>
  <si>
    <t xml:space="preserve">lot</t>
  </si>
  <si>
    <t xml:space="preserve">Management fee and field engineer</t>
  </si>
  <si>
    <t xml:space="preserve">Survey and setting out &amp; As-Built drawing</t>
  </si>
  <si>
    <t xml:space="preserve">Casing length 6m and Steel plate</t>
  </si>
  <si>
    <t xml:space="preserve">Coring Works</t>
  </si>
  <si>
    <t xml:space="preserve">Bentonite</t>
  </si>
  <si>
    <t xml:space="preserve">Rock Coring for Bored Pile D1500mm</t>
  </si>
  <si>
    <t xml:space="preserve">Soil Coring for Bored Pile D1500mm</t>
  </si>
  <si>
    <t xml:space="preserve">Concrete</t>
  </si>
  <si>
    <t xml:space="preserve">Rebar</t>
  </si>
  <si>
    <t xml:space="preserve">Deform Bar, DB10 SD500 Mpa</t>
  </si>
  <si>
    <t xml:space="preserve">Deform Bar, DB16 SD500 Mpa</t>
  </si>
  <si>
    <t xml:space="preserve">Deform Bar, DB20 SD500 Mpa </t>
  </si>
  <si>
    <t xml:space="preserve">Steel Wire</t>
  </si>
  <si>
    <t xml:space="preserve">Steel Tie Wire 1mm</t>
  </si>
  <si>
    <t xml:space="preserve">Steel Tube</t>
  </si>
  <si>
    <t xml:space="preserve">Steel Tube D49x1.9mm with Anti rust and black paint finish</t>
  </si>
  <si>
    <t xml:space="preserve">Grouting works </t>
  </si>
  <si>
    <t xml:space="preserve">Grouting works after sonic logging test</t>
  </si>
  <si>
    <t xml:space="preserve">Pile Load Testing</t>
  </si>
  <si>
    <t xml:space="preserve">Mobilization and demobilization</t>
  </si>
  <si>
    <t xml:space="preserve">ls</t>
  </si>
  <si>
    <t xml:space="preserve">Pile Head Cutting &amp; Preparation</t>
  </si>
  <si>
    <t xml:space="preserve">Pile Head Cutting &amp; Preparation for bored pile D1500mm</t>
  </si>
  <si>
    <t xml:space="preserve">nos</t>
  </si>
  <si>
    <t xml:space="preserve">Working Load Test and Ultimate Load Test, TL=2550Tons &amp; 4250Tons, FS=1.5 &amp; 2.5 with Kengledge method. 
Included : Mobiliztion and crane service</t>
  </si>
  <si>
    <t xml:space="preserve">Quality Testing</t>
  </si>
  <si>
    <t xml:space="preserve">PIT Testing</t>
  </si>
  <si>
    <t xml:space="preserve">Ultrasonic Testing</t>
  </si>
  <si>
    <t xml:space="preserve">PDA Test for bored pile D1500mm</t>
  </si>
  <si>
    <t xml:space="preserve">Spun Pile</t>
  </si>
  <si>
    <t xml:space="preserve">Mobilization</t>
  </si>
  <si>
    <t xml:space="preserve">trip</t>
  </si>
  <si>
    <t xml:space="preserve">Precast Concrete</t>
  </si>
  <si>
    <t xml:space="preserve">Spun Pile D600mm</t>
  </si>
  <si>
    <t xml:space="preserve">PDA Test</t>
  </si>
  <si>
    <t xml:space="preserve">Driven Pile</t>
  </si>
  <si>
    <t xml:space="preserve">Driven Pile (300x300)mm, L=8m</t>
  </si>
  <si>
    <t xml:space="preserve">Hammer test on site</t>
  </si>
  <si>
    <t xml:space="preserve">Soil Excavation</t>
  </si>
  <si>
    <t xml:space="preserve">Soil Disposal</t>
  </si>
  <si>
    <t xml:space="preserve">Soil Back Fill </t>
  </si>
  <si>
    <t xml:space="preserve">Soil Back Fill (Use the existing excavation material)</t>
  </si>
  <si>
    <t xml:space="preserve">Base Preparation</t>
  </si>
  <si>
    <t xml:space="preserve">Well Soil Compact</t>
  </si>
  <si>
    <t xml:space="preserve">Polyethylene Sheet</t>
  </si>
  <si>
    <t xml:space="preserve">Polyethylene Sheet, 2m width x 100m length</t>
  </si>
  <si>
    <t xml:space="preserve">Crush Stone</t>
  </si>
  <si>
    <t xml:space="preserve">Gravel 40x60mm Compaction 150mm thk.</t>
  </si>
  <si>
    <t xml:space="preserve">Lean Concrete</t>
  </si>
  <si>
    <t xml:space="preserve">Lean Concrete Grade C20/25 50mm thk.</t>
  </si>
  <si>
    <t xml:space="preserve">Formwork</t>
  </si>
  <si>
    <t xml:space="preserve">Deform Bar, DB12 SD500 Mpa </t>
  </si>
  <si>
    <t xml:space="preserve">Deform Bar, DB16 SD500 Mpa </t>
  </si>
  <si>
    <t xml:space="preserve">Deform Bar, DB25 SD500 Mpa </t>
  </si>
  <si>
    <t xml:space="preserve">Deform Bar, DB32 SD500 Mpa </t>
  </si>
  <si>
    <t xml:space="preserve">Testing</t>
  </si>
  <si>
    <t xml:space="preserve">Rebar Testing as per approved Specification</t>
  </si>
  <si>
    <t xml:space="preserve">Gravel 40x60mm Compaction 100mm thk.</t>
  </si>
  <si>
    <t xml:space="preserve">Deform Bar, DB10 SD500 Mpa </t>
  </si>
  <si>
    <t xml:space="preserve">Deform Bar, DB14 SD500 Mpa </t>
  </si>
  <si>
    <t xml:space="preserve">Water Stop</t>
  </si>
  <si>
    <t xml:space="preserve">Sika Waterbar V VN 20=20m (Width 200mm)</t>
  </si>
  <si>
    <t xml:space="preserve">SikaSwell 20mm</t>
  </si>
  <si>
    <t xml:space="preserve">Structural Beam</t>
  </si>
  <si>
    <t xml:space="preserve">Normal Concrete, C30/37 Mpa</t>
  </si>
  <si>
    <t xml:space="preserve">Formwork </t>
  </si>
  <si>
    <t xml:space="preserve">Deform Bar, DB32 SD500 Mpa</t>
  </si>
  <si>
    <t xml:space="preserve">Structural Slab</t>
  </si>
  <si>
    <t xml:space="preserve">Normal Concrete, C32/40 Mpa</t>
  </si>
  <si>
    <t xml:space="preserve">Post Tension Works</t>
  </si>
  <si>
    <t xml:space="preserve">PT Work For Slab 200mm thickness</t>
  </si>
  <si>
    <t xml:space="preserve">Deform Bar, DB14 SD500 Mpa</t>
  </si>
  <si>
    <t xml:space="preserve">Structural Column</t>
  </si>
  <si>
    <t xml:space="preserve">Deform Bar, DB20 SD500 Mpa</t>
  </si>
  <si>
    <t xml:space="preserve">Deform Bar, DB25 SD500 Mpa</t>
  </si>
  <si>
    <t xml:space="preserve">Deform Bar, DB28 SD500 Mpa</t>
  </si>
  <si>
    <t xml:space="preserve">Parapet Wall</t>
  </si>
  <si>
    <t xml:space="preserve">Structural Staircase</t>
  </si>
  <si>
    <t xml:space="preserve">Structural Ramp</t>
  </si>
  <si>
    <t xml:space="preserve">Structural Canopy</t>
  </si>
  <si>
    <t xml:space="preserve">Steel Structure</t>
  </si>
  <si>
    <t xml:space="preserve">I-(600x300x16x20)mm Grade 235 Mpa</t>
  </si>
  <si>
    <t xml:space="preserve">include bolt &amp; steel plate for connection</t>
  </si>
  <si>
    <t xml:space="preserve">Tube-(100x100x6)mm x 1.8mm thk grade 235 Mpa</t>
  </si>
  <si>
    <t xml:space="preserve">UNIFIED TAKEOFF RAW DATA — One Format for PRE / STR / ARC / MEP</t>
  </si>
  <si>
    <t xml:space="preserve">RULE: 1 row = 1 measurement. Unused dimensions = 1. Net Qty = No x L x W x H x Factor - Deduction. BOQ = pivot of this table by Budget Code. Colors: PRE=yellow, STR=blue, ARC=green, MEP=orange (illustration only).</t>
  </si>
  <si>
    <t xml:space="preserve">ID</t>
  </si>
  <si>
    <t xml:space="preserve">Project</t>
  </si>
  <si>
    <t xml:space="preserve">Bldg</t>
  </si>
  <si>
    <t xml:space="preserve">Budget Code</t>
  </si>
  <si>
    <t xml:space="preserve">Disc</t>
  </si>
  <si>
    <t xml:space="preserve">Section</t>
  </si>
  <si>
    <t xml:space="preserve">Item Code</t>
  </si>
  <si>
    <t xml:space="preserve">Description / Material Type</t>
  </si>
  <si>
    <t xml:space="preserve">Dwg Ref</t>
  </si>
  <si>
    <t xml:space="preserve">Rev</t>
  </si>
  <si>
    <t xml:space="preserve">Location / Grid</t>
  </si>
  <si>
    <t xml:space="preserve">No.</t>
  </si>
  <si>
    <t xml:space="preserve">L (m)</t>
  </si>
  <si>
    <t xml:space="preserve">W (m)</t>
  </si>
  <si>
    <t xml:space="preserve">H/Thk (m)</t>
  </si>
  <si>
    <t xml:space="preserve">Factor</t>
  </si>
  <si>
    <t xml:space="preserve">Deduct</t>
  </si>
  <si>
    <t xml:space="preserve">Net Qty</t>
  </si>
  <si>
    <t xml:space="preserve">Waste %</t>
  </si>
  <si>
    <t xml:space="preserve">Gross Qty</t>
  </si>
  <si>
    <t xml:space="preserve">Rate ($)</t>
  </si>
  <si>
    <t xml:space="preserve">Amount ($)</t>
  </si>
  <si>
    <t xml:space="preserve">Status</t>
  </si>
  <si>
    <t xml:space="preserve">By</t>
  </si>
  <si>
    <t xml:space="preserve">Date</t>
  </si>
  <si>
    <t xml:space="preserve">Remarks</t>
  </si>
  <si>
    <t xml:space="preserve">T-0001</t>
  </si>
  <si>
    <t xml:space="preserve">SCH10</t>
  </si>
  <si>
    <t xml:space="preserve">ALL</t>
  </si>
  <si>
    <t xml:space="preserve">Z.01.03.01</t>
  </si>
  <si>
    <t xml:space="preserve">PRE</t>
  </si>
  <si>
    <t xml:space="preserve">Preliminaries</t>
  </si>
  <si>
    <t xml:space="preserve">Temporary Building</t>
  </si>
  <si>
    <t xml:space="preserve">Site office, store &amp; welfare facilities</t>
  </si>
  <si>
    <t xml:space="preserve">-</t>
  </si>
  <si>
    <t xml:space="preserve">Site wide</t>
  </si>
  <si>
    <t xml:space="preserve">Month</t>
  </si>
  <si>
    <t xml:space="preserve">Draft</t>
  </si>
  <si>
    <t xml:space="preserve">QS1</t>
  </si>
  <si>
    <t xml:space="preserve">2026-07-09</t>
  </si>
  <si>
    <t xml:space="preserve">Qty = 18 months. Dims unused = 1. Rate from BU Z.01.03</t>
  </si>
  <si>
    <t xml:space="preserve">T-0002</t>
  </si>
  <si>
    <t xml:space="preserve">Z.01.05.06</t>
  </si>
  <si>
    <t xml:space="preserve">Machinery</t>
  </si>
  <si>
    <t xml:space="preserve">External scaffolding to facade</t>
  </si>
  <si>
    <t xml:space="preserve">A-201</t>
  </si>
  <si>
    <t xml:space="preserve">P1</t>
  </si>
  <si>
    <t xml:space="preserve">All elevations</t>
  </si>
  <si>
    <t xml:space="preserve">Perimeter x height = facade area. Rate from BU Z.01.05</t>
  </si>
  <si>
    <t xml:space="preserve">T-0003</t>
  </si>
  <si>
    <t xml:space="preserve">BA-04-L00</t>
  </si>
  <si>
    <t xml:space="preserve">B.01</t>
  </si>
  <si>
    <t xml:space="preserve">STR</t>
  </si>
  <si>
    <t xml:space="preserve">03-CONC-PC</t>
  </si>
  <si>
    <t xml:space="preserve">Normal Concrete C35/45 in pile caps</t>
  </si>
  <si>
    <t xml:space="preserve">S-102</t>
  </si>
  <si>
    <t xml:space="preserve">P2</t>
  </si>
  <si>
    <t xml:space="preserve">Grid A1-D4</t>
  </si>
  <si>
    <t xml:space="preserve">12 caps PC-1 type. Waste 2%. Rate from RFQ: 11+63</t>
  </si>
  <si>
    <t xml:space="preserve">T-0004</t>
  </si>
  <si>
    <t xml:space="preserve">03-REBR-PC</t>
  </si>
  <si>
    <t xml:space="preserve">Deform Bar DB20 SD500 in pile caps</t>
  </si>
  <si>
    <t xml:space="preserve">48 bars x 12 caps. Factor = 2.466 kg/m for DB20. Rate = labor+material</t>
  </si>
  <si>
    <t xml:space="preserve">T-0005</t>
  </si>
  <si>
    <t xml:space="preserve">BA-05-L01</t>
  </si>
  <si>
    <t xml:space="preserve">B.04</t>
  </si>
  <si>
    <t xml:space="preserve">03-CONC-COL</t>
  </si>
  <si>
    <t xml:space="preserve">Normal Concrete C35/45 in columns</t>
  </si>
  <si>
    <t xml:space="preserve">S-201</t>
  </si>
  <si>
    <t xml:space="preserve">C1-C18</t>
  </si>
  <si>
    <t xml:space="preserve">18 columns 600x600, storey height 3.5m</t>
  </si>
  <si>
    <t xml:space="preserve">T-0006</t>
  </si>
  <si>
    <t xml:space="preserve">03-FWRK-COL</t>
  </si>
  <si>
    <t xml:space="preserve">Plywood formwork to columns</t>
  </si>
  <si>
    <t xml:space="preserve">Girth 4x0.6=2.4m x height. Waste 5%</t>
  </si>
  <si>
    <t xml:space="preserve">T-0007</t>
  </si>
  <si>
    <t xml:space="preserve">C.09</t>
  </si>
  <si>
    <t xml:space="preserve">ARC</t>
  </si>
  <si>
    <t xml:space="preserve">Architecture</t>
  </si>
  <si>
    <t xml:space="preserve">Interior Wall Partition</t>
  </si>
  <si>
    <t xml:space="preserve">04-BLCK-100</t>
  </si>
  <si>
    <t xml:space="preserve">100mm concrete block wall in cement mortar</t>
  </si>
  <si>
    <t xml:space="preserve">A-301</t>
  </si>
  <si>
    <t xml:space="preserve">Classroom zone</t>
  </si>
  <si>
    <t xml:space="preserve">Deduct 8 m2 door/window openings</t>
  </si>
  <si>
    <t xml:space="preserve">T-0008</t>
  </si>
  <si>
    <t xml:space="preserve">D.02</t>
  </si>
  <si>
    <t xml:space="preserve">Interior Finish</t>
  </si>
  <si>
    <t xml:space="preserve">Floor Finishes</t>
  </si>
  <si>
    <t xml:space="preserve">04-TILE-600</t>
  </si>
  <si>
    <t xml:space="preserve">Porcelain floor tile 600x600 on screed</t>
  </si>
  <si>
    <t xml:space="preserve">A-401</t>
  </si>
  <si>
    <t xml:space="preserve">Classroom 101</t>
  </si>
  <si>
    <t xml:space="preserve">Room 8.4 x 7.2m. Tile waste 7%</t>
  </si>
  <si>
    <t xml:space="preserve">T-0009</t>
  </si>
  <si>
    <t xml:space="preserve">C.03</t>
  </si>
  <si>
    <t xml:space="preserve">Exterior Door</t>
  </si>
  <si>
    <t xml:space="preserve">04-DOOR-D1</t>
  </si>
  <si>
    <t xml:space="preserve">Aluminum glass double door D1 2.4x2.8m</t>
  </si>
  <si>
    <t xml:space="preserve">A-501</t>
  </si>
  <si>
    <t xml:space="preserve">Main entrance</t>
  </si>
  <si>
    <t xml:space="preserve">Count items: dims = 1, No. = count</t>
  </si>
  <si>
    <t xml:space="preserve">T-0010</t>
  </si>
  <si>
    <t xml:space="preserve">F.05</t>
  </si>
  <si>
    <t xml:space="preserve">MEP</t>
  </si>
  <si>
    <t xml:space="preserve">Services</t>
  </si>
  <si>
    <t xml:space="preserve">Electrical System</t>
  </si>
  <si>
    <t xml:space="preserve">05-COND-25</t>
  </si>
  <si>
    <t xml:space="preserve">PVC conduit 25mm incl. draw wire</t>
  </si>
  <si>
    <t xml:space="preserve">E-201</t>
  </si>
  <si>
    <t xml:space="preserve">Level 1 corridor</t>
  </si>
  <si>
    <t xml:space="preserve">Measured along corridor route</t>
  </si>
  <si>
    <t xml:space="preserve">T-0011</t>
  </si>
  <si>
    <t xml:space="preserve">F.01</t>
  </si>
  <si>
    <t xml:space="preserve">Sanitary Installations</t>
  </si>
  <si>
    <t xml:space="preserve">05-WC-STD</t>
  </si>
  <si>
    <t xml:space="preserve">WC suite complete incl. fittings</t>
  </si>
  <si>
    <t xml:space="preserve">P-301</t>
  </si>
  <si>
    <t xml:space="preserve">Toilets L1</t>
  </si>
  <si>
    <t xml:space="preserve">Count from sanitary layout</t>
  </si>
  <si>
    <t xml:space="preserve">T-0012</t>
  </si>
  <si>
    <t xml:space="preserve">F.02</t>
  </si>
  <si>
    <t xml:space="preserve">AC System</t>
  </si>
  <si>
    <t xml:space="preserve">05-AC-PS</t>
  </si>
  <si>
    <t xml:space="preserve">Air conditioning system — PROVISIONAL SUM</t>
  </si>
  <si>
    <t xml:space="preserve">Whole building</t>
  </si>
  <si>
    <t xml:space="preserve">Sum</t>
  </si>
  <si>
    <t xml:space="preserve">MEP design not received — provisional sum per RFI-005</t>
  </si>
  <si>
    <t xml:space="preserve">FORMAT RULES:</t>
  </si>
  <si>
    <t xml:space="preserve">1. ONE ROW = ONE MEASUREMENT. Never merge locations — measure Level 1 columns and Level 2 columns as separate rows even if identical.</t>
  </si>
  <si>
    <t xml:space="preserve">2. UNUSED DIMENSIONS = 1. A count item (doors, WCs) uses No. only; an area item uses No. x L x H; a volume item uses all four.</t>
  </si>
  <si>
    <t xml:space="preserve">3. FACTOR column converts units: rebar kg/m (DB20 = 2.466), girth multipliers, unit weights. Document the factor in Remarks.</t>
  </si>
  <si>
    <t xml:space="preserve">4. DEDUCT is subtracted AFTER the multiplication — openings in walls, voids in slabs.</t>
  </si>
  <si>
    <t xml:space="preserve">5. BUDGET CODE is mandatory on every row — it is what connects takeoff to BOQ, budget, and cost report.</t>
  </si>
  <si>
    <t xml:space="preserve">6. FLOOR CODE from the Floor Code sheet enables quantity reports per level (concrete per floor, etc.).</t>
  </si>
  <si>
    <t xml:space="preserve">7. PRELIMINARIES use the same format: Qty in No. as months/items, rate linked from BU sheets. One table = one source of truth.</t>
  </si>
  <si>
    <t xml:space="preserve">8. BOQ GENERATION: pivot this table by Budget Code -&gt; Section -&gt; Item Code, summing Gross Qty and Amount. Never type a BOQ quantity manually.</t>
  </si>
  <si>
    <t xml:space="preserve">9. STATUS discipline: Draft (measuring) -&gt; Checked (2nd QS verified) -&gt; Final (locked into BOQ). Only Final rows enter the tender.</t>
  </si>
  <si>
    <t xml:space="preserve">10. This flat format maps 1:1 to the future database table "takeoff_lines" — column names = field names.</t>
  </si>
  <si>
    <t xml:space="preserve">SITE DATA — Common Parameters (feeds all build-up sheets)</t>
  </si>
  <si>
    <t xml:space="preserve">Yellow = input. Items marked TO VERIFY must be checked against drawings before tender submission.</t>
  </si>
  <si>
    <t xml:space="preserve">Ref</t>
  </si>
  <si>
    <t xml:space="preserve">Parameter</t>
  </si>
  <si>
    <t xml:space="preserve">Value</t>
  </si>
  <si>
    <t xml:space="preserve">P01</t>
  </si>
  <si>
    <t xml:space="preserve">Site perimeter (hoarding line)</t>
  </si>
  <si>
    <t xml:space="preserve">TO VERIFY</t>
  </si>
  <si>
    <t xml:space="preserve">P02</t>
  </si>
  <si>
    <t xml:space="preserve">Building footprint</t>
  </si>
  <si>
    <t xml:space="preserve">Given</t>
  </si>
  <si>
    <t xml:space="preserve">P03</t>
  </si>
  <si>
    <t xml:space="preserve">Building perimeter</t>
  </si>
  <si>
    <t xml:space="preserve">P04</t>
  </si>
  <si>
    <t xml:space="preserve">Storeys above ground</t>
  </si>
  <si>
    <t xml:space="preserve">no</t>
  </si>
  <si>
    <t xml:space="preserve">P05</t>
  </si>
  <si>
    <t xml:space="preserve">Building height</t>
  </si>
  <si>
    <t xml:space="preserve">P06</t>
  </si>
  <si>
    <t xml:space="preserve">Facade area (P03 x P05)</t>
  </si>
  <si>
    <t xml:space="preserve">Calculated</t>
  </si>
  <si>
    <t xml:space="preserve">P07</t>
  </si>
  <si>
    <t xml:space="preserve">Programme duration</t>
  </si>
  <si>
    <t xml:space="preserve">months</t>
  </si>
  <si>
    <t xml:space="preserve">Assumed</t>
  </si>
  <si>
    <t xml:space="preserve">P08</t>
  </si>
  <si>
    <t xml:space="preserve">Structure phase duration</t>
  </si>
  <si>
    <t xml:space="preserve">P09</t>
  </si>
  <si>
    <t xml:space="preserve">Scaffold rental duration</t>
  </si>
  <si>
    <t xml:space="preserve">P10</t>
  </si>
  <si>
    <t xml:space="preserve">Peak workforce</t>
  </si>
  <si>
    <t xml:space="preserve">P11</t>
  </si>
  <si>
    <t xml:space="preserve">Floors incl. roof (edge protection)</t>
  </si>
  <si>
    <t xml:space="preserve">P12</t>
  </si>
  <si>
    <t xml:space="preserve">Gross floor area (P02 x P04)</t>
  </si>
  <si>
    <t xml:space="preserve">PRELIMINARIES &amp; GENERAL (Z) — Fully Built-Up</t>
  </si>
  <si>
    <t xml:space="preserve">10-Storey School, Phnom Penh | USD | 18-month programme | Yellow = input | Green = linked from build-up / Site Data sheets</t>
  </si>
  <si>
    <t xml:space="preserve">Code</t>
  </si>
  <si>
    <t xml:space="preserve">Description</t>
  </si>
  <si>
    <t xml:space="preserve">Qty</t>
  </si>
  <si>
    <t xml:space="preserve">Z.01</t>
  </si>
  <si>
    <t xml:space="preserve">TEMPORARY WORKS</t>
  </si>
  <si>
    <t xml:space="preserve">Z.01.01</t>
  </si>
  <si>
    <t xml:space="preserve">Site Preparation  —  build-ups in sheet "BU Z.01.01"</t>
  </si>
  <si>
    <t xml:space="preserve">Z.01.01.01</t>
  </si>
  <si>
    <t xml:space="preserve">Item</t>
  </si>
  <si>
    <t xml:space="preserve">Trips + setup labor + yard</t>
  </si>
  <si>
    <t xml:space="preserve">Z.01.01.02</t>
  </si>
  <si>
    <t xml:space="preserve">Demobilization &amp; site clearance</t>
  </si>
  <si>
    <t xml:space="preserve">Trips out + reinstatement</t>
  </si>
  <si>
    <t xml:space="preserve">Z.01.01.03</t>
  </si>
  <si>
    <t xml:space="preserve">Temporary access &amp; roads</t>
  </si>
  <si>
    <t xml:space="preserve">Road + hardstand areas</t>
  </si>
  <si>
    <t xml:space="preserve">Z.01.01.04</t>
  </si>
  <si>
    <t xml:space="preserve">Setting out &amp; ongoing survey works</t>
  </si>
  <si>
    <t xml:space="preserve">Instrument + consumables + checks</t>
  </si>
  <si>
    <t xml:space="preserve">Z.01.01.05</t>
  </si>
  <si>
    <t xml:space="preserve">Site signage &amp; project board</t>
  </si>
  <si>
    <t xml:space="preserve">Board + safety signage</t>
  </si>
  <si>
    <t xml:space="preserve">Z.01.01.06</t>
  </si>
  <si>
    <t xml:space="preserve">Traffic management &amp; road occupation</t>
  </si>
  <si>
    <t xml:space="preserve">Flagmen + permits + equipment</t>
  </si>
  <si>
    <t xml:space="preserve">Z.01.02</t>
  </si>
  <si>
    <t xml:space="preserve">General Protection  —  build-ups in sheet "BU Z.01.02"</t>
  </si>
  <si>
    <t xml:space="preserve">Z.01.02.01</t>
  </si>
  <si>
    <t xml:space="preserve">Temporary fencing &amp; hoarding</t>
  </si>
  <si>
    <t xml:space="preserve">Site perimeter x rate/m + gates</t>
  </si>
  <si>
    <t xml:space="preserve">Z.01.02.02</t>
  </si>
  <si>
    <t xml:space="preserve">Temporary sheet pile, length 6m</t>
  </si>
  <si>
    <t xml:space="preserve">Rate/m = drive/extract + rental. DELETE from CS BoQ (double count)</t>
  </si>
  <si>
    <t xml:space="preserve">Z.01.02.03</t>
  </si>
  <si>
    <t xml:space="preserve">Safety net to building perimeter</t>
  </si>
  <si>
    <t xml:space="preserve">Net area x rate + labor</t>
  </si>
  <si>
    <t xml:space="preserve">Z.01.02.04</t>
  </si>
  <si>
    <t xml:space="preserve">Edge protection &amp; handrails</t>
  </si>
  <si>
    <t xml:space="preserve">Rate/floor = perimeter x rail rate</t>
  </si>
  <si>
    <t xml:space="preserve">Z.01.02.05</t>
  </si>
  <si>
    <t xml:space="preserve">Protection of completed works</t>
  </si>
  <si>
    <t xml:space="preserve">Sheeting area + sundries</t>
  </si>
  <si>
    <t xml:space="preserve">Z.01.02.06</t>
  </si>
  <si>
    <t xml:space="preserve">Monsoon protection &amp; site drainage</t>
  </si>
  <si>
    <t xml:space="preserve">Pumps + channels + labor</t>
  </si>
  <si>
    <t xml:space="preserve">Z.01.02.07</t>
  </si>
  <si>
    <t xml:space="preserve">Dewatering during substructure</t>
  </si>
  <si>
    <t xml:space="preserve">Pumps + fuel + attendance</t>
  </si>
  <si>
    <t xml:space="preserve">Z.01.03</t>
  </si>
  <si>
    <t xml:space="preserve">Temporary Building  —  build-ups in sheet "BU Z.01.03"</t>
  </si>
  <si>
    <t xml:space="preserve">Containers + furniture + shelter</t>
  </si>
  <si>
    <t xml:space="preserve">Z.01.03.02</t>
  </si>
  <si>
    <t xml:space="preserve">Temporary worker toilets &amp; sanitation</t>
  </si>
  <si>
    <t xml:space="preserve">Units + servicing</t>
  </si>
  <si>
    <t xml:space="preserve">Z.01.03.03</t>
  </si>
  <si>
    <t xml:space="preserve">First aid room &amp; facilities</t>
  </si>
  <si>
    <t xml:space="preserve">Fit-out + supplies</t>
  </si>
  <si>
    <t xml:space="preserve">Z.01.03.04</t>
  </si>
  <si>
    <t xml:space="preserve">Washing bay / wheel wash</t>
  </si>
  <si>
    <t xml:space="preserve">Pad + pump + maintenance</t>
  </si>
  <si>
    <t xml:space="preserve">Z.01.04</t>
  </si>
  <si>
    <t xml:space="preserve">Temporary Site Labor  —  build-ups in sheet "BU Z.01.04"</t>
  </si>
  <si>
    <t xml:space="preserve">Z.01.04.01</t>
  </si>
  <si>
    <t xml:space="preserve">Site cleaning &amp; waste removal</t>
  </si>
  <si>
    <t xml:space="preserve">Crew + skips + tipping</t>
  </si>
  <si>
    <t xml:space="preserve">Z.01.04.02</t>
  </si>
  <si>
    <t xml:space="preserve">Final builder's clean at handover</t>
  </si>
  <si>
    <t xml:space="preserve">GFA x rate + facade clean</t>
  </si>
  <si>
    <t xml:space="preserve">Z.01.05</t>
  </si>
  <si>
    <t xml:space="preserve">Machinery &amp; Vertical Transport  —  build-ups in sheet "BU Z.01.05"</t>
  </si>
  <si>
    <t xml:space="preserve">Z.01.05.01</t>
  </si>
  <si>
    <t xml:space="preserve">Tower crane rental</t>
  </si>
  <si>
    <t xml:space="preserve">Rental + operator + maintenance</t>
  </si>
  <si>
    <t xml:space="preserve">Z.01.05.02</t>
  </si>
  <si>
    <t xml:space="preserve">Tower crane foundation, erection, dismantle &amp; test</t>
  </si>
  <si>
    <t xml:space="preserve">Base + erect + dismantle + test</t>
  </si>
  <si>
    <t xml:space="preserve">Z.01.05.03</t>
  </si>
  <si>
    <t xml:space="preserve">Passenger / material hoist rental</t>
  </si>
  <si>
    <t xml:space="preserve">Rental + operator</t>
  </si>
  <si>
    <t xml:space="preserve">Z.01.05.04</t>
  </si>
  <si>
    <t xml:space="preserve">Hoist erection &amp; dismantling</t>
  </si>
  <si>
    <t xml:space="preserve">Erect + dismantle + cert</t>
  </si>
  <si>
    <t xml:space="preserve">Z.01.05.05</t>
  </si>
  <si>
    <t xml:space="preserve">Concrete pump provision</t>
  </si>
  <si>
    <t xml:space="preserve">DECISION: included in concrete unit rates — do NOT price here</t>
  </si>
  <si>
    <t xml:space="preserve">Qty = facade area (Site Data). Rate/m2 = E&amp;D + rental</t>
  </si>
  <si>
    <t xml:space="preserve">Z.01.05.07</t>
  </si>
  <si>
    <t xml:space="preserve">Back-propping / falsework for PT slabs</t>
  </si>
  <si>
    <t xml:space="preserve">Props rental + labor per floor</t>
  </si>
  <si>
    <t xml:space="preserve">Z.01.06</t>
  </si>
  <si>
    <t xml:space="preserve">Light Equipment &amp; Hand Tools  —  build-up in sheet "BU Z.01.06"</t>
  </si>
  <si>
    <t xml:space="preserve">Z.01.06.01</t>
  </si>
  <si>
    <t xml:space="preserve">Small plant, light equipment &amp; hand tools</t>
  </si>
  <si>
    <t xml:space="preserve">Mixers + tools + consumables</t>
  </si>
  <si>
    <t xml:space="preserve">Z.01.07</t>
  </si>
  <si>
    <t xml:space="preserve">Temporary Electrical / Plumbing / Drainage  —  build-ups in sheet "Temp Utilities"</t>
  </si>
  <si>
    <t xml:space="preserve">Z.01.07.01</t>
  </si>
  <si>
    <t xml:space="preserve">Temporary electricity — installation, connection &amp; removal</t>
  </si>
  <si>
    <t xml:space="preserve">One-time — Temp Utilities A3</t>
  </si>
  <si>
    <t xml:space="preserve">Z.01.07.02</t>
  </si>
  <si>
    <t xml:space="preserve">Temporary electricity — consumption &amp; maintenance</t>
  </si>
  <si>
    <t xml:space="preserve">Load schedule — Temp Utilities A1/A2</t>
  </si>
  <si>
    <t xml:space="preserve">Z.01.07.03</t>
  </si>
  <si>
    <t xml:space="preserve">Temporary water — installation, connection &amp; removal</t>
  </si>
  <si>
    <t xml:space="preserve">One-time — Temp Utilities B1</t>
  </si>
  <si>
    <t xml:space="preserve">Z.01.07.04</t>
  </si>
  <si>
    <t xml:space="preserve">Temporary water — consumption &amp; maintenance</t>
  </si>
  <si>
    <t xml:space="preserve">Demand calc — Temp Utilities B2</t>
  </si>
  <si>
    <t xml:space="preserve">Z.01.08</t>
  </si>
  <si>
    <t xml:space="preserve">Safety &amp; Environment Control  —  build-ups in sheet "BU Z.01.08"</t>
  </si>
  <si>
    <t xml:space="preserve">Z.01.08.01</t>
  </si>
  <si>
    <t xml:space="preserve">Health, safety provisions &amp; PPE</t>
  </si>
  <si>
    <t xml:space="preserve">PPE x workforce + training</t>
  </si>
  <si>
    <t xml:space="preserve">Z.01.08.02</t>
  </si>
  <si>
    <t xml:space="preserve">Site security incl. guards &amp; CCTV</t>
  </si>
  <si>
    <t xml:space="preserve">Guards + CCTV + lighting</t>
  </si>
  <si>
    <t xml:space="preserve">Z.01.08.03</t>
  </si>
  <si>
    <t xml:space="preserve">Material &amp; concrete testing (QA/QC)</t>
  </si>
  <si>
    <t xml:space="preserve">Cubes + rebar + soil tests</t>
  </si>
  <si>
    <t xml:space="preserve">Z.30</t>
  </si>
  <si>
    <t xml:space="preserve">SITE STAFF &amp; OVERHEADS  —  build-up in sheet "Staff Schedule"</t>
  </si>
  <si>
    <t xml:space="preserve">Z.30.01</t>
  </si>
  <si>
    <t xml:space="preserve">Foreign country employees (per Staff Schedule)</t>
  </si>
  <si>
    <t xml:space="preserve">Position x months x rate</t>
  </si>
  <si>
    <t xml:space="preserve">Z.30.02</t>
  </si>
  <si>
    <t xml:space="preserve">Local country employees (per Staff Schedule)</t>
  </si>
  <si>
    <t xml:space="preserve">Z.30.03</t>
  </si>
  <si>
    <t xml:space="preserve">Other personnel</t>
  </si>
  <si>
    <t xml:space="preserve">Allow if client requires (e.g. clerk of works support)</t>
  </si>
  <si>
    <t xml:space="preserve">Z.30.04</t>
  </si>
  <si>
    <t xml:space="preserve">Welfare expense</t>
  </si>
  <si>
    <t xml:space="preserve">Monthly allowance — input</t>
  </si>
  <si>
    <t xml:space="preserve">Z.30.05</t>
  </si>
  <si>
    <t xml:space="preserve">Office supplies expenses</t>
  </si>
  <si>
    <t xml:space="preserve">Z.30.06</t>
  </si>
  <si>
    <t xml:space="preserve">Communication &amp; travel expense</t>
  </si>
  <si>
    <t xml:space="preserve">Z.30.07</t>
  </si>
  <si>
    <t xml:space="preserve">Social expense</t>
  </si>
  <si>
    <t xml:space="preserve">Z.30.08</t>
  </si>
  <si>
    <t xml:space="preserve">Taxes &amp; public imposition</t>
  </si>
  <si>
    <t xml:space="preserve">Carried in Tender Cost Summary (tax line) — do NOT price here</t>
  </si>
  <si>
    <t xml:space="preserve">Z.30.09</t>
  </si>
  <si>
    <t xml:space="preserve">Meeting expense</t>
  </si>
  <si>
    <t xml:space="preserve">Z.30.10</t>
  </si>
  <si>
    <t xml:space="preserve">Miscellaneous expense</t>
  </si>
  <si>
    <t xml:space="preserve">Z.50</t>
  </si>
  <si>
    <t xml:space="preserve">DESIGN EXPENSES  —  build-ups in sheet "BU Z.50"</t>
  </si>
  <si>
    <t xml:space="preserve">Z.50.01</t>
  </si>
  <si>
    <t xml:space="preserve">Shop drawings</t>
  </si>
  <si>
    <t xml:space="preserve">Draftsmen man-months + printing</t>
  </si>
  <si>
    <t xml:space="preserve">Z.50.02</t>
  </si>
  <si>
    <t xml:space="preserve">As-built drawings</t>
  </si>
  <si>
    <t xml:space="preserve">Draftsman man-months + printing</t>
  </si>
  <si>
    <t xml:space="preserve">Z.50.03</t>
  </si>
  <si>
    <t xml:space="preserve">Temporary works design</t>
  </si>
  <si>
    <t xml:space="preserve">Crane base + shoring + back-prop design</t>
  </si>
  <si>
    <t xml:space="preserve">Z.70</t>
  </si>
  <si>
    <t xml:space="preserve">RISKS AND OPPORTUNITIES</t>
  </si>
  <si>
    <t xml:space="preserve">Z.70.01</t>
  </si>
  <si>
    <t xml:space="preserve">Risk allowance</t>
  </si>
  <si>
    <t xml:space="preserve">Carried in Tender Cost Summary risk line — do NOT price here</t>
  </si>
  <si>
    <t xml:space="preserve">Subtotal Z.01 — TEMPORARY WORKS</t>
  </si>
  <si>
    <t xml:space="preserve">Subtotal Z.30 — SITE STAFF &amp; OVERHEADS</t>
  </si>
  <si>
    <t xml:space="preserve">Subtotal Z.50 — DESIGN EXPENSES</t>
  </si>
  <si>
    <t xml:space="preserve">Subtotal Z.70 — RISKS AND OPPORTUNITIES</t>
  </si>
  <si>
    <t xml:space="preserve">TOTAL PRELIMINARIES &amp; GENERAL (Z)</t>
  </si>
  <si>
    <t xml:space="preserve">ITEMS RELOCATED OUT OF PRELIMINARIES (now under Section X — Authority / Insurance)</t>
  </si>
  <si>
    <t xml:space="preserve">X.02</t>
  </si>
  <si>
    <t xml:space="preserve">Insurance (CAR / third party) — was Z.11</t>
  </si>
  <si>
    <t xml:space="preserve">Price under Budget Code Section X, not Z</t>
  </si>
  <si>
    <t xml:space="preserve">Performance bond / guarantees — was Z.12</t>
  </si>
  <si>
    <t xml:space="preserve">ASSUMPTION REGISTER NOTES:</t>
  </si>
  <si>
    <t xml:space="preserve">1. Every rate is now formula-linked to a build-up sheet (BU Z.xx.xx / Staff Schedule / Temp Utilities) — no typed lump sums remain.</t>
  </si>
  <si>
    <t xml:space="preserve">2. All build-up input rates are Phnom Penh benchmarks — replace yellow cells with actual quotations before submission.</t>
  </si>
  <si>
    <t xml:space="preserve">3. Site Data parameters marked TO VERIFY (perimeters, height) must be measured from drawings; facade &amp; GFA recalculate automatically.</t>
  </si>
  <si>
    <t xml:space="preserve">4. Temporary sheet piles priced ONCE (Z.01.02.02) — remove "Temperary Protection" lines from CS BoQ measured works (double count).</t>
  </si>
  <si>
    <t xml:space="preserve">5. Concrete pump is included in concrete unit rates; taxes &amp; risk are carried in the Tender Cost Summary.</t>
  </si>
  <si>
    <t xml:space="preserve">6. Utility rates split fixed vs monthly for prolongation claims; crane 16 months, hoist 12 months, scaffold rental 12 months.</t>
  </si>
  <si>
    <t xml:space="preserve">SITE STAFF SCHEDULE — Feeds Z.30.01 / Z.30.02 in Preliminaries</t>
  </si>
  <si>
    <t xml:space="preserve">10-Storey School Building, Phnom Penh — 18-month programme. Yellow = input.</t>
  </si>
  <si>
    <t xml:space="preserve">Position</t>
  </si>
  <si>
    <t xml:space="preserve">Origin</t>
  </si>
  <si>
    <t xml:space="preserve">Persons</t>
  </si>
  <si>
    <t xml:space="preserve">Months</t>
  </si>
  <si>
    <t xml:space="preserve">Monthly Rate ($)</t>
  </si>
  <si>
    <t xml:space="preserve">Total ($)</t>
  </si>
  <si>
    <t xml:space="preserve">Project Manager</t>
  </si>
  <si>
    <t xml:space="preserve">Foreign</t>
  </si>
  <si>
    <t xml:space="preserve">Site Engineer</t>
  </si>
  <si>
    <t xml:space="preserve">Local</t>
  </si>
  <si>
    <t xml:space="preserve">Quantity Surveyor</t>
  </si>
  <si>
    <t xml:space="preserve">Safety Officer</t>
  </si>
  <si>
    <t xml:space="preserve">Surveyor (incl. assistant)</t>
  </si>
  <si>
    <t xml:space="preserve">General Foreman</t>
  </si>
  <si>
    <t xml:space="preserve">Site Admin / Storekeeper</t>
  </si>
  <si>
    <t xml:space="preserve">Document Controller</t>
  </si>
  <si>
    <t xml:space="preserve">Subtotal — Foreign staff (→ Z.30.01)</t>
  </si>
  <si>
    <t xml:space="preserve">Subtotal — Local staff (→ Z.30.02)</t>
  </si>
  <si>
    <t xml:space="preserve">TOTAL SITE STAFF</t>
  </si>
  <si>
    <t xml:space="preserve">TEMPORARY UTILITIES BUILD-UP — Feeds Z.01.07 in Preliminaries</t>
  </si>
  <si>
    <t xml:space="preserve">Yellow = input. Change any input and the Preliminaries rates update automatically.</t>
  </si>
  <si>
    <t xml:space="preserve">A. TEMPORARY ELECTRICITY</t>
  </si>
  <si>
    <t xml:space="preserve">A1. Monthly Load Schedule (peak structure months)</t>
  </si>
  <si>
    <t xml:space="preserve">Equipment</t>
  </si>
  <si>
    <t xml:space="preserve">kW</t>
  </si>
  <si>
    <t xml:space="preserve">Hrs/day</t>
  </si>
  <si>
    <t xml:space="preserve">Days/month</t>
  </si>
  <si>
    <t xml:space="preserve">kWh/month</t>
  </si>
  <si>
    <t xml:space="preserve">Tower crane</t>
  </si>
  <si>
    <t xml:space="preserve">Passenger / material hoist</t>
  </si>
  <si>
    <t xml:space="preserve">Bar bender &amp; cutter</t>
  </si>
  <si>
    <t xml:space="preserve">Concrete vibrators (4 no.)</t>
  </si>
  <si>
    <t xml:space="preserve">Welding sets (2 no.)</t>
  </si>
  <si>
    <t xml:space="preserve">Water pumps</t>
  </si>
  <si>
    <t xml:space="preserve">Site office (AC, IT, lighting)</t>
  </si>
  <si>
    <t xml:space="preserve">Site &amp; tower lighting</t>
  </si>
  <si>
    <t xml:space="preserve">Total peak consumption</t>
  </si>
  <si>
    <t xml:space="preserve">A2. Monthly Cost Calculation</t>
  </si>
  <si>
    <t xml:space="preserve">EDC tariff ($/kWh)</t>
  </si>
  <si>
    <t xml:space="preserve">Peak monthly cost</t>
  </si>
  <si>
    <t xml:space="preserve">Diversity factor (programme average / peak)</t>
  </si>
  <si>
    <t xml:space="preserve">Average monthly consumption cost</t>
  </si>
  <si>
    <t xml:space="preserve">Electrician maintenance ($/month)</t>
  </si>
  <si>
    <t xml:space="preserve">MONTHLY RATE → Z.01.07.02</t>
  </si>
  <si>
    <t xml:space="preserve">A3. One-Time Installation &amp; Removal</t>
  </si>
  <si>
    <t xml:space="preserve">EDC connection fee &amp; deposit</t>
  </si>
  <si>
    <t xml:space="preserve">Main distribution board (MDB) &amp; meter</t>
  </si>
  <si>
    <t xml:space="preserve">Sub-distribution boards (1 per 2 floors × 5)</t>
  </si>
  <si>
    <t xml:space="preserve">Cabling &amp; rising mains distribution</t>
  </si>
  <si>
    <t xml:space="preserve">Earthing &amp; protection</t>
  </si>
  <si>
    <t xml:space="preserve">Site lighting installation</t>
  </si>
  <si>
    <t xml:space="preserve">Removal at completion</t>
  </si>
  <si>
    <t xml:space="preserve">ONE-TIME TOTAL → Z.01.07.01</t>
  </si>
  <si>
    <t xml:space="preserve">B. TEMPORARY WATER</t>
  </si>
  <si>
    <t xml:space="preserve">B1. One-Time Installation &amp; Removal</t>
  </si>
  <si>
    <t xml:space="preserve">PPWSA connection &amp; meter</t>
  </si>
  <si>
    <t xml:space="preserve">Storage tanks 2 × 5 m³</t>
  </si>
  <si>
    <t xml:space="preserve">Booster pump &amp; piping to floors</t>
  </si>
  <si>
    <t xml:space="preserve">ONE-TIME TOTAL → Z.01.07.03</t>
  </si>
  <si>
    <t xml:space="preserve">B2. Monthly Demand &amp; Cost</t>
  </si>
  <si>
    <t xml:space="preserve">Workers on site (no.)</t>
  </si>
  <si>
    <t xml:space="preserve">Liters per worker per day</t>
  </si>
  <si>
    <t xml:space="preserve">Working days per month</t>
  </si>
  <si>
    <t xml:space="preserve">Domestic use (m³/month)</t>
  </si>
  <si>
    <t xml:space="preserve">Curing water (m³/month, structure phase)</t>
  </si>
  <si>
    <t xml:space="preserve">Blockwork &amp; plaster mixing (m³/month)</t>
  </si>
  <si>
    <t xml:space="preserve">Washing bay &amp; dust control (m³/month)</t>
  </si>
  <si>
    <t xml:space="preserve">Total demand (m³/month)</t>
  </si>
  <si>
    <t xml:space="preserve">PPWSA tariff ($/m³)</t>
  </si>
  <si>
    <t xml:space="preserve">Consumption cost ($/month)</t>
  </si>
  <si>
    <t xml:space="preserve">Pump running &amp; maintenance ($/month)</t>
  </si>
  <si>
    <t xml:space="preserve">MONTHLY RATE → Z.01.07.04</t>
  </si>
  <si>
    <t xml:space="preserve">Z.01.01 SITE PREPARATION — Build-Ups</t>
  </si>
  <si>
    <t xml:space="preserve">Yellow = input (Phnom Penh benchmarks — replace with quotations). Green = linked from Site Data.</t>
  </si>
  <si>
    <t xml:space="preserve">Mobilization  (total per Item)</t>
  </si>
  <si>
    <t xml:space="preserve">Component</t>
  </si>
  <si>
    <t xml:space="preserve">Low-bed &amp; truck transport trips (plant in)</t>
  </si>
  <si>
    <t xml:space="preserve">Crane lifts for site establishment</t>
  </si>
  <si>
    <t xml:space="preserve">lift</t>
  </si>
  <si>
    <t xml:space="preserve">Site setup labor</t>
  </si>
  <si>
    <t xml:space="preserve">man-day</t>
  </si>
  <si>
    <t xml:space="preserve">Utility applications &amp; administration</t>
  </si>
  <si>
    <t xml:space="preserve">Storage yard &amp; hardstand setup</t>
  </si>
  <si>
    <t xml:space="preserve">Survey control points establishment</t>
  </si>
  <si>
    <t xml:space="preserve">Build-up total → Z.01.01.01</t>
  </si>
  <si>
    <t xml:space="preserve">Demobilization &amp; site clearance  (total per Item)</t>
  </si>
  <si>
    <t xml:space="preserve">Transport trips out (plant removal)</t>
  </si>
  <si>
    <t xml:space="preserve">Dismantling labor</t>
  </si>
  <si>
    <t xml:space="preserve">Site reinstatement &amp; final clearance</t>
  </si>
  <si>
    <t xml:space="preserve">Build-up total → Z.01.01.02</t>
  </si>
  <si>
    <t xml:space="preserve">Temporary access &amp; roads  (total per Item)</t>
  </si>
  <si>
    <t xml:space="preserve">Laterite/gravel access road</t>
  </si>
  <si>
    <t xml:space="preserve">Hardstand at loading/unloading area</t>
  </si>
  <si>
    <t xml:space="preserve">Build-up total → Z.01.01.03</t>
  </si>
  <si>
    <t xml:space="preserve">Setting out &amp; ongoing survey works  (rate per Month)</t>
  </si>
  <si>
    <t xml:space="preserve">Total station &amp; level rental</t>
  </si>
  <si>
    <t xml:space="preserve">mo</t>
  </si>
  <si>
    <t xml:space="preserve">Pegs, paint, consumables</t>
  </si>
  <si>
    <t xml:space="preserve">Periodic verification survey</t>
  </si>
  <si>
    <t xml:space="preserve">Build-up total → Z.01.01.04</t>
  </si>
  <si>
    <t xml:space="preserve">Site signage &amp; project board  (total per Item)</t>
  </si>
  <si>
    <t xml:space="preserve">Project board 3m x 2m incl. frame</t>
  </si>
  <si>
    <t xml:space="preserve">Safety &amp; directional signage</t>
  </si>
  <si>
    <t xml:space="preserve">Build-up total → Z.01.01.05</t>
  </si>
  <si>
    <t xml:space="preserve">Traffic management &amp; road occupation  (total per Item)</t>
  </si>
  <si>
    <t xml:space="preserve">Flagmen during concrete pours</t>
  </si>
  <si>
    <t xml:space="preserve">Road occupation permits</t>
  </si>
  <si>
    <t xml:space="preserve">Cones, barriers, warning lights</t>
  </si>
  <si>
    <t xml:space="preserve">Build-up total → Z.01.01.06</t>
  </si>
  <si>
    <t xml:space="preserve">Z.01.02 GENERAL PROTECTION — Build-Ups</t>
  </si>
  <si>
    <t xml:space="preserve">Temporary fencing &amp; hoarding  (total per Item)</t>
  </si>
  <si>
    <t xml:space="preserve">Corrugated hoarding 2.4m high on site perimeter</t>
  </si>
  <si>
    <t xml:space="preserve">Double gates</t>
  </si>
  <si>
    <t xml:space="preserve">Build-up total → Z.01.02.01</t>
  </si>
  <si>
    <t xml:space="preserve">Temporary sheet pile, length 6m  (rate per m)</t>
  </si>
  <si>
    <t xml:space="preserve">Drive &amp; extract (subcontract)</t>
  </si>
  <si>
    <t xml:space="preserve">Rental during excavation (4 months)</t>
  </si>
  <si>
    <t xml:space="preserve">m-mo</t>
  </si>
  <si>
    <t xml:space="preserve">Build-up total → Z.01.02.02</t>
  </si>
  <si>
    <t xml:space="preserve">Safety net to building perimeter  (total per Item)</t>
  </si>
  <si>
    <t xml:space="preserve">Net band, 2 lifts rotating up building</t>
  </si>
  <si>
    <t xml:space="preserve">Installation &amp; shifting labor</t>
  </si>
  <si>
    <t xml:space="preserve">Build-up total → Z.01.02.03</t>
  </si>
  <si>
    <t xml:space="preserve">Edge protection &amp; handrails  (rate per Floor)</t>
  </si>
  <si>
    <t xml:space="preserve">Guardrail to slab edge (building perimeter)</t>
  </si>
  <si>
    <t xml:space="preserve">Posts, fixing &amp; shifting labor</t>
  </si>
  <si>
    <t xml:space="preserve">floor</t>
  </si>
  <si>
    <t xml:space="preserve">Build-up total → Z.01.02.04</t>
  </si>
  <si>
    <t xml:space="preserve">Protection of completed works  (total per Item)</t>
  </si>
  <si>
    <t xml:space="preserve">Floor/lobby/stair protection sheeting</t>
  </si>
  <si>
    <t xml:space="preserve">Corner guards, tapes, miscellaneous</t>
  </si>
  <si>
    <t xml:space="preserve">Build-up total → Z.01.02.05</t>
  </si>
  <si>
    <t xml:space="preserve">Monsoon protection &amp; site drainage  (rate per Month)</t>
  </si>
  <si>
    <t xml:space="preserve">Submersible pumps rental</t>
  </si>
  <si>
    <t xml:space="preserve">Sandbags &amp; drainage channels</t>
  </si>
  <si>
    <t xml:space="preserve">Attendance labor</t>
  </si>
  <si>
    <t xml:space="preserve">Build-up total → Z.01.02.06</t>
  </si>
  <si>
    <t xml:space="preserve">Dewatering during substructure  (rate per Month)</t>
  </si>
  <si>
    <t xml:space="preserve">Dewatering pumps rental</t>
  </si>
  <si>
    <t xml:space="preserve">Fuel / power</t>
  </si>
  <si>
    <t xml:space="preserve">Standby attendance</t>
  </si>
  <si>
    <t xml:space="preserve">Build-up total → Z.01.02.07</t>
  </si>
  <si>
    <t xml:space="preserve">Z.01.03 TEMPORARY BUILDING — Build-Ups</t>
  </si>
  <si>
    <t xml:space="preserve">Site office, store &amp; welfare  (rate per Month)</t>
  </si>
  <si>
    <t xml:space="preserve">Office containers</t>
  </si>
  <si>
    <t xml:space="preserve">Store container</t>
  </si>
  <si>
    <t xml:space="preserve">Furniture, AC, IT (amortized)</t>
  </si>
  <si>
    <t xml:space="preserve">Workers shelter / canteen</t>
  </si>
  <si>
    <t xml:space="preserve">Build-up total → Z.01.03.01</t>
  </si>
  <si>
    <t xml:space="preserve">Temporary worker toilets  (rate per Month)</t>
  </si>
  <si>
    <t xml:space="preserve">Portable toilet units</t>
  </si>
  <si>
    <t xml:space="preserve">Servicing &amp; consumables</t>
  </si>
  <si>
    <t xml:space="preserve">Build-up total → Z.01.03.02</t>
  </si>
  <si>
    <t xml:space="preserve">First aid room &amp; facilities  (total per Item)</t>
  </si>
  <si>
    <t xml:space="preserve">Room fit-out</t>
  </si>
  <si>
    <t xml:space="preserve">Equipment &amp; initial supplies</t>
  </si>
  <si>
    <t xml:space="preserve">Build-up total → Z.01.03.03</t>
  </si>
  <si>
    <t xml:space="preserve">Washing bay / wheel wash  (total per Item)</t>
  </si>
  <si>
    <t xml:space="preserve">RC pad &amp; sediment pit</t>
  </si>
  <si>
    <t xml:space="preserve">Pump &amp; water recycling system</t>
  </si>
  <si>
    <t xml:space="preserve">Hoses &amp; equipment</t>
  </si>
  <si>
    <t xml:space="preserve">Maintenance &amp; desilting over programme</t>
  </si>
  <si>
    <t xml:space="preserve">Build-up total → Z.01.03.04</t>
  </si>
  <si>
    <t xml:space="preserve">Z.01.04 TEMPORARY SITE LABOR — Build-Ups</t>
  </si>
  <si>
    <t xml:space="preserve">Site cleaning &amp; waste removal  (rate per Month)</t>
  </si>
  <si>
    <t xml:space="preserve">Cleaning laborers</t>
  </si>
  <si>
    <t xml:space="preserve">Waste skip hire</t>
  </si>
  <si>
    <t xml:space="preserve">Tipping fees</t>
  </si>
  <si>
    <t xml:space="preserve">Build-up total → Z.01.04.01</t>
  </si>
  <si>
    <t xml:space="preserve">Final builder's clean at handover  (total per Item)</t>
  </si>
  <si>
    <t xml:space="preserve">Builder's clean on GFA</t>
  </si>
  <si>
    <t xml:space="preserve">Glass &amp; facade cleaning</t>
  </si>
  <si>
    <t xml:space="preserve">Build-up total → Z.01.04.02</t>
  </si>
  <si>
    <t xml:space="preserve">Z.01.05 MACHINERY &amp; VERTICAL TRANSPORT — Build-Ups</t>
  </si>
  <si>
    <t xml:space="preserve">Tower crane rental  (rate per Month)</t>
  </si>
  <si>
    <t xml:space="preserve">Operator &amp; rigger</t>
  </si>
  <si>
    <t xml:space="preserve">Maintenance &amp; spares</t>
  </si>
  <si>
    <t xml:space="preserve">Build-up total → Z.01.05.01</t>
  </si>
  <si>
    <t xml:space="preserve">Tower crane foundation, erection, dismantle &amp; test  (total per Item)</t>
  </si>
  <si>
    <t xml:space="preserve">RC foundation base</t>
  </si>
  <si>
    <t xml:space="preserve">Erection incl. mobile crane hire</t>
  </si>
  <si>
    <t xml:space="preserve">Dismantling</t>
  </si>
  <si>
    <t xml:space="preserve">Load test &amp; certification</t>
  </si>
  <si>
    <t xml:space="preserve">Build-up total → Z.01.05.02</t>
  </si>
  <si>
    <t xml:space="preserve">Passenger / material hoist rental  (rate per Month)</t>
  </si>
  <si>
    <t xml:space="preserve">Hoist rental</t>
  </si>
  <si>
    <t xml:space="preserve">Operator</t>
  </si>
  <si>
    <t xml:space="preserve">Build-up total → Z.01.05.03</t>
  </si>
  <si>
    <t xml:space="preserve">Hoist erection &amp; dismantling  (total per Item)</t>
  </si>
  <si>
    <t xml:space="preserve">Erection &amp; base</t>
  </si>
  <si>
    <t xml:space="preserve">Test &amp; certification</t>
  </si>
  <si>
    <t xml:space="preserve">Build-up total → Z.01.05.04</t>
  </si>
  <si>
    <t xml:space="preserve">External scaffolding to facade  (rate per m2)</t>
  </si>
  <si>
    <t xml:space="preserve">Erection &amp; dismantling</t>
  </si>
  <si>
    <t xml:space="preserve">Rental over scaffold duration (P09 months)</t>
  </si>
  <si>
    <t xml:space="preserve">m2-mo</t>
  </si>
  <si>
    <t xml:space="preserve">Build-up total → Z.01.05.06</t>
  </si>
  <si>
    <t xml:space="preserve">Back-propping / falsework for PT slabs  (rate per Floor)</t>
  </si>
  <si>
    <t xml:space="preserve">Adjustable props rental (400 no x 2-month cycle)</t>
  </si>
  <si>
    <t xml:space="preserve">prop-mo</t>
  </si>
  <si>
    <t xml:space="preserve">Install &amp; strike labor</t>
  </si>
  <si>
    <t xml:space="preserve">Build-up total → Z.01.05.07</t>
  </si>
  <si>
    <t xml:space="preserve">Z.01.06 LIGHT EQUIPMENT &amp; HAND TOOLS — Build-Up</t>
  </si>
  <si>
    <t xml:space="preserve">Small plant, light equipment &amp; hand tools  (rate per Month)</t>
  </si>
  <si>
    <t xml:space="preserve">Concrete mixers</t>
  </si>
  <si>
    <t xml:space="preserve">Cutting &amp; grinding equipment</t>
  </si>
  <si>
    <t xml:space="preserve">Power tools replacement allowance</t>
  </si>
  <si>
    <t xml:space="preserve">Consumables (discs, bits, blades)</t>
  </si>
  <si>
    <t xml:space="preserve">Build-up total → Z.01.06.01</t>
  </si>
  <si>
    <t xml:space="preserve">Z.01.08 SAFETY &amp; ENVIRONMENT CONTROL — Build-Ups</t>
  </si>
  <si>
    <t xml:space="preserve">Health, safety provisions &amp; PPE  (rate per Month)</t>
  </si>
  <si>
    <t xml:space="preserve">PPE issue &amp; replacement (per peak workforce)</t>
  </si>
  <si>
    <t xml:space="preserve">worker</t>
  </si>
  <si>
    <t xml:space="preserve">First-aid consumables</t>
  </si>
  <si>
    <t xml:space="preserve">Toolbox training &amp; safety officer support</t>
  </si>
  <si>
    <t xml:space="preserve">Safety signage &amp; miscellaneous</t>
  </si>
  <si>
    <t xml:space="preserve">Build-up total → Z.01.08.01</t>
  </si>
  <si>
    <t xml:space="preserve">Site security incl. guards &amp; CCTV  (rate per Month)</t>
  </si>
  <si>
    <t xml:space="preserve">Security guards (day/night rotation)</t>
  </si>
  <si>
    <t xml:space="preserve">CCTV system (amortized)</t>
  </si>
  <si>
    <t xml:space="preserve">Security lighting power</t>
  </si>
  <si>
    <t xml:space="preserve">Build-up total → Z.01.08.02</t>
  </si>
  <si>
    <t xml:space="preserve">Material &amp; concrete testing (QA/QC)  (total per Item)</t>
  </si>
  <si>
    <t xml:space="preserve">Concrete cube test sets</t>
  </si>
  <si>
    <t xml:space="preserve">set</t>
  </si>
  <si>
    <t xml:space="preserve">Rebar tensile tests</t>
  </si>
  <si>
    <t xml:space="preserve">Soil / compaction tests</t>
  </si>
  <si>
    <t xml:space="preserve">Other / miscellaneous tests</t>
  </si>
  <si>
    <t xml:space="preserve">Build-up total → Z.01.08.03</t>
  </si>
  <si>
    <t xml:space="preserve">Z.50 DESIGN EXPENSES — Build-Ups</t>
  </si>
  <si>
    <t xml:space="preserve">Shop drawings  (total per Item)</t>
  </si>
  <si>
    <t xml:space="preserve">Draftsmen (2 no. x 10 months)</t>
  </si>
  <si>
    <t xml:space="preserve">man-mo</t>
  </si>
  <si>
    <t xml:space="preserve">Plotting &amp; printing</t>
  </si>
  <si>
    <t xml:space="preserve">Build-up total → Z.50.01</t>
  </si>
  <si>
    <t xml:space="preserve">As-built drawings  (total per Item)</t>
  </si>
  <si>
    <t xml:space="preserve">Draftsman (1 no. x 10 months)</t>
  </si>
  <si>
    <t xml:space="preserve">Printing &amp; binding</t>
  </si>
  <si>
    <t xml:space="preserve">Build-up total → Z.50.02</t>
  </si>
  <si>
    <t xml:space="preserve">Temporary works design  (total per Item)</t>
  </si>
  <si>
    <t xml:space="preserve">Crane base design &amp; check</t>
  </si>
  <si>
    <t xml:space="preserve">Sheet pile / shoring design</t>
  </si>
  <si>
    <t xml:space="preserve">Back-propping &amp; formwork scheme</t>
  </si>
  <si>
    <t xml:space="preserve">Documentation &amp; submissions</t>
  </si>
  <si>
    <t xml:space="preserve">Build-up total → Z.50.03</t>
  </si>
  <si>
    <t xml:space="preserve">BUDGET CODE</t>
  </si>
  <si>
    <t xml:space="preserve">Early Work</t>
  </si>
  <si>
    <t xml:space="preserve">A.00</t>
  </si>
  <si>
    <t xml:space="preserve">A.Early Work</t>
  </si>
  <si>
    <t xml:space="preserve">Topography Survey</t>
  </si>
  <si>
    <t xml:space="preserve">A.01</t>
  </si>
  <si>
    <t xml:space="preserve">   A.01.Topography Survey</t>
  </si>
  <si>
    <t xml:space="preserve">Soil Investigation </t>
  </si>
  <si>
    <t xml:space="preserve">A.02</t>
  </si>
  <si>
    <t xml:space="preserve">   A.02.Soil Investigation </t>
  </si>
  <si>
    <t xml:space="preserve">Mine / UXO Clearance</t>
  </si>
  <si>
    <t xml:space="preserve">A.03</t>
  </si>
  <si>
    <t xml:space="preserve">   A.03.Mine / UXO Clearance</t>
  </si>
  <si>
    <t xml:space="preserve">Soil Leveling</t>
  </si>
  <si>
    <t xml:space="preserve">A.04</t>
  </si>
  <si>
    <t xml:space="preserve">   A.04.Soil Leveling</t>
  </si>
  <si>
    <t xml:space="preserve">Demolition</t>
  </si>
  <si>
    <t xml:space="preserve">A.05</t>
  </si>
  <si>
    <t xml:space="preserve">   A.05.Demolition</t>
  </si>
  <si>
    <t xml:space="preserve">Cleaning</t>
  </si>
  <si>
    <t xml:space="preserve">A.06</t>
  </si>
  <si>
    <t xml:space="preserve">   A.06.Cleaning</t>
  </si>
  <si>
    <t xml:space="preserve">Repair exiting services</t>
  </si>
  <si>
    <t xml:space="preserve">A.07</t>
  </si>
  <si>
    <t xml:space="preserve">   A.07.Repair exiting services</t>
  </si>
  <si>
    <t xml:space="preserve">Renovation</t>
  </si>
  <si>
    <t xml:space="preserve">A.08</t>
  </si>
  <si>
    <t xml:space="preserve">   A.08.Renovation</t>
  </si>
  <si>
    <t xml:space="preserve">B.00</t>
  </si>
  <si>
    <t xml:space="preserve">B.0.Sub Structure</t>
  </si>
  <si>
    <t xml:space="preserve">Piling Work</t>
  </si>
  <si>
    <t xml:space="preserve">   B.01.Piling Work</t>
  </si>
  <si>
    <t xml:space="preserve">Basement</t>
  </si>
  <si>
    <t xml:space="preserve">B.02</t>
  </si>
  <si>
    <t xml:space="preserve">   B.02.Basement</t>
  </si>
  <si>
    <t xml:space="preserve">Ground Floor</t>
  </si>
  <si>
    <t xml:space="preserve">B.03</t>
  </si>
  <si>
    <t xml:space="preserve">   B.03.Ground Floor</t>
  </si>
  <si>
    <t xml:space="preserve">Super structure</t>
  </si>
  <si>
    <t xml:space="preserve">   B.04.Super structure</t>
  </si>
  <si>
    <t xml:space="preserve">C.00</t>
  </si>
  <si>
    <t xml:space="preserve">C.0.Architecture</t>
  </si>
  <si>
    <t xml:space="preserve">Exterior Wall and Partition</t>
  </si>
  <si>
    <t xml:space="preserve">C.01</t>
  </si>
  <si>
    <t xml:space="preserve">   C.01.Exterior Wall and Partition</t>
  </si>
  <si>
    <t xml:space="preserve">Masonry Wall, Dry Wall, Glass partition</t>
  </si>
  <si>
    <t xml:space="preserve">Exterior Wall Finishes</t>
  </si>
  <si>
    <t xml:space="preserve">C.02</t>
  </si>
  <si>
    <t xml:space="preserve">   C.02.Exterior Wall Finishes</t>
  </si>
  <si>
    <t xml:space="preserve">Plastering, painting, cladding, molding</t>
  </si>
  <si>
    <t xml:space="preserve">   C.03.Exterior Door </t>
  </si>
  <si>
    <t xml:space="preserve">Wooden door, Glass door, Steel door</t>
  </si>
  <si>
    <t xml:space="preserve">Exterior Window and Louver</t>
  </si>
  <si>
    <t xml:space="preserve">C.04</t>
  </si>
  <si>
    <t xml:space="preserve">   C.04.Exterior Window and Louver</t>
  </si>
  <si>
    <t xml:space="preserve">Glass window, window fence, steel louver</t>
  </si>
  <si>
    <t xml:space="preserve">Exterior floor</t>
  </si>
  <si>
    <t xml:space="preserve">C.05</t>
  </si>
  <si>
    <t xml:space="preserve">   C.05.Exterior floor</t>
  </si>
  <si>
    <t xml:space="preserve">Screeding, floor tiling, hardening, Waterproofing</t>
  </si>
  <si>
    <t xml:space="preserve">Exterior soffit</t>
  </si>
  <si>
    <t xml:space="preserve">C.06</t>
  </si>
  <si>
    <t xml:space="preserve">   C.06.Exterior soffit</t>
  </si>
  <si>
    <t xml:space="preserve">Soffit slab finish</t>
  </si>
  <si>
    <t xml:space="preserve">Exterior Stair Ramp</t>
  </si>
  <si>
    <t xml:space="preserve">C.07</t>
  </si>
  <si>
    <t xml:space="preserve">   C.07.Exterior Stair Ramp</t>
  </si>
  <si>
    <t xml:space="preserve">Barrier, ramp</t>
  </si>
  <si>
    <t xml:space="preserve">C.08</t>
  </si>
  <si>
    <t xml:space="preserve">   C.08.Roofing</t>
  </si>
  <si>
    <t xml:space="preserve">Interior Wall and Partition</t>
  </si>
  <si>
    <t xml:space="preserve">   C.09.Interior Wall Partition</t>
  </si>
  <si>
    <t xml:space="preserve">Interior Doors</t>
  </si>
  <si>
    <t xml:space="preserve">C.10</t>
  </si>
  <si>
    <t xml:space="preserve">   C.10.Interior Door /Windows and Louvers</t>
  </si>
  <si>
    <t xml:space="preserve">Steel door, wooden door, glass door</t>
  </si>
  <si>
    <t xml:space="preserve">Special installation</t>
  </si>
  <si>
    <t xml:space="preserve">C.11</t>
  </si>
  <si>
    <t xml:space="preserve">   C.11.Special installation</t>
  </si>
  <si>
    <t xml:space="preserve">LPG Gas</t>
  </si>
  <si>
    <t xml:space="preserve">Exterior Finishes</t>
  </si>
  <si>
    <t xml:space="preserve">C.12</t>
  </si>
  <si>
    <t xml:space="preserve">   C.12.Exterior Finishes</t>
  </si>
  <si>
    <t xml:space="preserve">D.00</t>
  </si>
  <si>
    <t xml:space="preserve">D.0.Interior Finish</t>
  </si>
  <si>
    <t xml:space="preserve">Interior Wall Finishes</t>
  </si>
  <si>
    <t xml:space="preserve">D.01</t>
  </si>
  <si>
    <t xml:space="preserve">   D.01.Interior Wall Finishes</t>
  </si>
  <si>
    <t xml:space="preserve">Wall tiling, Plastering, Painting, Skirting, Wall Marble</t>
  </si>
  <si>
    <t xml:space="preserve">Interior Floor Finishes</t>
  </si>
  <si>
    <t xml:space="preserve">   D.02.Interior Floor Finishes</t>
  </si>
  <si>
    <t xml:space="preserve">Screeding, floor tiling, Wooden Flooring, Marble flooring, Carpet Flooring, Epoxy Flooring, waterproofing, Floor strip divider</t>
  </si>
  <si>
    <t xml:space="preserve">Ceiling Finishes</t>
  </si>
  <si>
    <t xml:space="preserve">D.03</t>
  </si>
  <si>
    <t xml:space="preserve">   D.03.Ceiling Finish</t>
  </si>
  <si>
    <t xml:space="preserve">Suspended Ceiling</t>
  </si>
  <si>
    <t xml:space="preserve">Fittings, furnishings and equipment</t>
  </si>
  <si>
    <t xml:space="preserve">E.00</t>
  </si>
  <si>
    <t xml:space="preserve">E.0.Fitting, furnishings and equipment</t>
  </si>
  <si>
    <t xml:space="preserve">General Fitting</t>
  </si>
  <si>
    <t xml:space="preserve">E.01</t>
  </si>
  <si>
    <t xml:space="preserve">   E.01.General Fitting</t>
  </si>
  <si>
    <t xml:space="preserve">Domestic Kitchen Fitting</t>
  </si>
  <si>
    <t xml:space="preserve">E.02</t>
  </si>
  <si>
    <t xml:space="preserve">   E.02.Domestic Kitchen Fitting</t>
  </si>
  <si>
    <t xml:space="preserve">Special purpose Fitting</t>
  </si>
  <si>
    <t xml:space="preserve">E.03</t>
  </si>
  <si>
    <t xml:space="preserve">   E.03.Special purpose Fitting</t>
  </si>
  <si>
    <t xml:space="preserve">Signage</t>
  </si>
  <si>
    <t xml:space="preserve">E.04</t>
  </si>
  <si>
    <t xml:space="preserve">   E.04.Signage</t>
  </si>
  <si>
    <t xml:space="preserve">Art</t>
  </si>
  <si>
    <t xml:space="preserve">E.05</t>
  </si>
  <si>
    <t xml:space="preserve">   E.05.Art</t>
  </si>
  <si>
    <t xml:space="preserve">Non-Mechanical and Non Electrical Equipement</t>
  </si>
  <si>
    <t xml:space="preserve">E.06</t>
  </si>
  <si>
    <t xml:space="preserve">   E.06.Non-Mechanical and Non Electrical Equipement</t>
  </si>
  <si>
    <t xml:space="preserve">Internal Planting</t>
  </si>
  <si>
    <t xml:space="preserve">E.07</t>
  </si>
  <si>
    <t xml:space="preserve">   E.07.Internal Planting</t>
  </si>
  <si>
    <t xml:space="preserve">Bird and Vermin Control</t>
  </si>
  <si>
    <t xml:space="preserve">E.08</t>
  </si>
  <si>
    <t xml:space="preserve">   E.08.Bird and Vermin Control</t>
  </si>
  <si>
    <t xml:space="preserve">F.00</t>
  </si>
  <si>
    <t xml:space="preserve">F.0.Services</t>
  </si>
  <si>
    <t xml:space="preserve">   F.01.Sanitary Installations</t>
  </si>
  <si>
    <t xml:space="preserve">AIR-CONDITIONAL SYSTEM</t>
  </si>
  <si>
    <t xml:space="preserve">   F.02.AC SYSTEM</t>
  </si>
  <si>
    <t xml:space="preserve">MECHANICAL VENTILATION SYSTEM</t>
  </si>
  <si>
    <t xml:space="preserve">F.03</t>
  </si>
  <si>
    <t xml:space="preserve">   F.03.MECHANICAL VENTILATION SYSTEM (MV)</t>
  </si>
  <si>
    <t xml:space="preserve">MV DISTRIBUTION SYSTEM</t>
  </si>
  <si>
    <t xml:space="preserve">F.04</t>
  </si>
  <si>
    <t xml:space="preserve">   F.04.MV DISTRIBUTION SYSTEM</t>
  </si>
  <si>
    <t xml:space="preserve">ELECTRICAL SYSTEM</t>
  </si>
  <si>
    <t xml:space="preserve">   F.05.ELECTRICAL SYSTEM</t>
  </si>
  <si>
    <t xml:space="preserve">ELV INSTALLATION</t>
  </si>
  <si>
    <t xml:space="preserve">F.06</t>
  </si>
  <si>
    <t xml:space="preserve">   F.06.ELV INSTALLATION</t>
  </si>
  <si>
    <t xml:space="preserve">PLUMBING SYSTEM</t>
  </si>
  <si>
    <t xml:space="preserve">F.07</t>
  </si>
  <si>
    <t xml:space="preserve">   F.07.PLUMBING SYSTEM</t>
  </si>
  <si>
    <t xml:space="preserve">FIRE FIGHTING SYSTEM</t>
  </si>
  <si>
    <t xml:space="preserve">F.08</t>
  </si>
  <si>
    <t xml:space="preserve">   F.08.FIRE FIGHTING SYSTEM</t>
  </si>
  <si>
    <t xml:space="preserve">Specialist Installations</t>
  </si>
  <si>
    <t xml:space="preserve">F.09</t>
  </si>
  <si>
    <t xml:space="preserve">   F.09.Specialist Installations</t>
  </si>
  <si>
    <t xml:space="preserve">VERTICAL TRANSPORTATION SYSTEM</t>
  </si>
  <si>
    <t xml:space="preserve">F.10</t>
  </si>
  <si>
    <t xml:space="preserve">   F.10.VERTICAL TRANSPORTATION SYSTEM</t>
  </si>
  <si>
    <t xml:space="preserve">G.00</t>
  </si>
  <si>
    <t xml:space="preserve">G.External Work</t>
  </si>
  <si>
    <t xml:space="preserve">Site preparation</t>
  </si>
  <si>
    <t xml:space="preserve">G.01</t>
  </si>
  <si>
    <t xml:space="preserve">   G.01.Site preparation</t>
  </si>
  <si>
    <t xml:space="preserve">Roads, path, paveing Surfacing</t>
  </si>
  <si>
    <t xml:space="preserve">G.02</t>
  </si>
  <si>
    <t xml:space="preserve">   G.02.Roads, path, paveing Surfacing</t>
  </si>
  <si>
    <t xml:space="preserve">Land scape</t>
  </si>
  <si>
    <t xml:space="preserve">G.03</t>
  </si>
  <si>
    <t xml:space="preserve">   G.03.Land scape</t>
  </si>
  <si>
    <t xml:space="preserve">Fence Railing wall</t>
  </si>
  <si>
    <t xml:space="preserve">G.04</t>
  </si>
  <si>
    <t xml:space="preserve">   G.04.Fence Railing wall</t>
  </si>
  <si>
    <t xml:space="preserve">Exteranal Fixture</t>
  </si>
  <si>
    <t xml:space="preserve">G.05</t>
  </si>
  <si>
    <t xml:space="preserve">   G.05.Exteranal Fixture</t>
  </si>
  <si>
    <t xml:space="preserve">AUTHORITY RELATED , INSURANCE</t>
  </si>
  <si>
    <t xml:space="preserve">X.00</t>
  </si>
  <si>
    <t xml:space="preserve">X.0.AUTHORITY RELATED , INSURANCE</t>
  </si>
  <si>
    <t xml:space="preserve">CONSTRUCTION PERMIT, OPEN SITE AND CLOSE SITE PERMITS</t>
  </si>
  <si>
    <t xml:space="preserve">X.01</t>
  </si>
  <si>
    <t xml:space="preserve">   X.01.CONSTRUCTION PERMIT, OPEN SITE AND CLOSE SITE PERMITS</t>
  </si>
  <si>
    <t xml:space="preserve">CAR Insurance + DLP Insurance</t>
  </si>
  <si>
    <t xml:space="preserve">   X.02.CAR Insurance + DLP Insurance</t>
  </si>
  <si>
    <t xml:space="preserve">DLP 24 Month Budget</t>
  </si>
  <si>
    <t xml:space="preserve">X.03</t>
  </si>
  <si>
    <t xml:space="preserve">   X.03.DLP 24 Month Budget</t>
  </si>
  <si>
    <t xml:space="preserve">E.I.A</t>
  </si>
  <si>
    <t xml:space="preserve">X.04</t>
  </si>
  <si>
    <t xml:space="preserve">   X.04.E.I.A</t>
  </si>
  <si>
    <t xml:space="preserve">Z.0.CONTRACTOR'S PRELIMINARIES / DESIGN / OTHERS</t>
  </si>
  <si>
    <t xml:space="preserve">Z.00</t>
  </si>
  <si>
    <t xml:space="preserve">Temporary Works</t>
  </si>
  <si>
    <t xml:space="preserve">Z.01.Temporary Works</t>
  </si>
  <si>
    <t xml:space="preserve">Site Preparation</t>
  </si>
  <si>
    <t xml:space="preserve">Z.01.01.Site Preparation</t>
  </si>
  <si>
    <t xml:space="preserve">General Protection</t>
  </si>
  <si>
    <t xml:space="preserve">Z.01.02.General Protection</t>
  </si>
  <si>
    <t xml:space="preserve">Z.01.03.Temporary Building</t>
  </si>
  <si>
    <t xml:space="preserve">Temporary site labor</t>
  </si>
  <si>
    <t xml:space="preserve">Z.01.04.Temporary site labor</t>
  </si>
  <si>
    <t xml:space="preserve">Z.01.05.Machinery</t>
  </si>
  <si>
    <t xml:space="preserve">Light equiment hand tools</t>
  </si>
  <si>
    <t xml:space="preserve">Z.01.06.Light equiment hand tools</t>
  </si>
  <si>
    <t xml:space="preserve">Temporary Elecrical Plumbing Drainage</t>
  </si>
  <si>
    <t xml:space="preserve">Z.01.07.Temporary Elecrical Plumbing Drainage</t>
  </si>
  <si>
    <t xml:space="preserve">Safe and environment control</t>
  </si>
  <si>
    <t xml:space="preserve">Z.01.08.Safe and environment control</t>
  </si>
  <si>
    <t xml:space="preserve">Foreign Country Employee</t>
  </si>
  <si>
    <t xml:space="preserve">Z.30.01.Foreign Country Employee</t>
  </si>
  <si>
    <t xml:space="preserve">Local Country employee</t>
  </si>
  <si>
    <t xml:space="preserve">Z.30.02.Local Country employee</t>
  </si>
  <si>
    <t xml:space="preserve">Z.30.03.Other personnel</t>
  </si>
  <si>
    <t xml:space="preserve">Z.30.04.Welfare expense</t>
  </si>
  <si>
    <t xml:space="preserve">office supplies expenses</t>
  </si>
  <si>
    <t xml:space="preserve">Z.30.05.office supplies expenses</t>
  </si>
  <si>
    <t xml:space="preserve">Communication &amp; Travel expense</t>
  </si>
  <si>
    <t xml:space="preserve">Z.30.06.Communication &amp; Travel expense</t>
  </si>
  <si>
    <t xml:space="preserve">Z.30.07.Social expense</t>
  </si>
  <si>
    <t xml:space="preserve">Taxes &amp; Public imposition</t>
  </si>
  <si>
    <t xml:space="preserve">Z.30.08.Taxes &amp; Public imposition</t>
  </si>
  <si>
    <t xml:space="preserve">Z.30.09.Meeting expense</t>
  </si>
  <si>
    <t xml:space="preserve">Z.30.10.Miscellaneous expense</t>
  </si>
  <si>
    <t xml:space="preserve">Design expenses</t>
  </si>
  <si>
    <t xml:space="preserve">Z.50.Design expenses</t>
  </si>
  <si>
    <t xml:space="preserve">Risks and Opportunities</t>
  </si>
  <si>
    <t xml:space="preserve">Z.70.Risks and Opportunities</t>
  </si>
  <si>
    <t xml:space="preserve">slab</t>
  </si>
  <si>
    <t xml:space="preserve">wall</t>
  </si>
  <si>
    <t xml:space="preserve">Truss Name</t>
  </si>
  <si>
    <t xml:space="preserve">Number of Truss (pcs)</t>
  </si>
  <si>
    <t xml:space="preserve">Steel section Name</t>
  </si>
  <si>
    <t xml:space="preserve">Number of steel (pcs)</t>
  </si>
  <si>
    <t xml:space="preserve">Length per pcs (m)</t>
  </si>
  <si>
    <t xml:space="preserve">Total Length (m)</t>
  </si>
  <si>
    <t xml:space="preserve">Truss 01</t>
  </si>
  <si>
    <t xml:space="preserve">U-50*100*5mm</t>
  </si>
  <si>
    <t xml:space="preserve">Truss 02</t>
  </si>
  <si>
    <t xml:space="preserve">Truss 03</t>
  </si>
  <si>
    <t xml:space="preserve">Turss 04</t>
  </si>
  <si>
    <t xml:space="preserve">Truss 05</t>
  </si>
  <si>
    <t xml:space="preserve">Truss 06</t>
  </si>
  <si>
    <t xml:space="preserve">Truss 07</t>
  </si>
  <si>
    <t xml:space="preserve">Truss 08</t>
  </si>
  <si>
    <t xml:space="preserve">Truss 09</t>
  </si>
  <si>
    <t xml:space="preserve">Tub-50*100*2mm</t>
  </si>
  <si>
    <t xml:space="preserve">Purlin</t>
  </si>
  <si>
    <t xml:space="preserve">Name</t>
  </si>
  <si>
    <t xml:space="preserve">Combine</t>
  </si>
  <si>
    <t xml:space="preserve">01.UG</t>
  </si>
  <si>
    <t xml:space="preserve">Under Ground</t>
  </si>
  <si>
    <t xml:space="preserve">02.GF</t>
  </si>
  <si>
    <t xml:space="preserve">03.MZ</t>
  </si>
  <si>
    <t xml:space="preserve">Mezzanine Floor</t>
  </si>
  <si>
    <t xml:space="preserve">04.L01</t>
  </si>
  <si>
    <t xml:space="preserve">L01 Floor</t>
  </si>
  <si>
    <t xml:space="preserve">05.L02</t>
  </si>
  <si>
    <t xml:space="preserve">L02 Floor</t>
  </si>
  <si>
    <t xml:space="preserve">06.L03</t>
  </si>
  <si>
    <t xml:space="preserve">L03 Floor</t>
  </si>
  <si>
    <t xml:space="preserve">07.L04</t>
  </si>
  <si>
    <t xml:space="preserve">L04 Floor</t>
  </si>
  <si>
    <t xml:space="preserve">08.L05</t>
  </si>
  <si>
    <t xml:space="preserve">L05 Floor</t>
  </si>
  <si>
    <t xml:space="preserve">09.L06</t>
  </si>
  <si>
    <t xml:space="preserve">L06 Floor</t>
  </si>
  <si>
    <t xml:space="preserve">10.L07</t>
  </si>
  <si>
    <t xml:space="preserve">L07 Floor</t>
  </si>
  <si>
    <t xml:space="preserve">11.L08</t>
  </si>
  <si>
    <t xml:space="preserve">L08 Floor</t>
  </si>
  <si>
    <t xml:space="preserve">12.L09</t>
  </si>
  <si>
    <t xml:space="preserve">L09 Floor</t>
  </si>
  <si>
    <t xml:space="preserve">13.L10</t>
  </si>
  <si>
    <t xml:space="preserve">L10 Floor</t>
  </si>
  <si>
    <t xml:space="preserve">05.LWR</t>
  </si>
  <si>
    <t xml:space="preserve">Lower Roof Floor</t>
  </si>
  <si>
    <t xml:space="preserve">05.LRF</t>
  </si>
  <si>
    <t xml:space="preserve">Roof Floor</t>
  </si>
  <si>
    <t xml:space="preserve">level</t>
  </si>
  <si>
    <t xml:space="preserve">Beam Name</t>
  </si>
  <si>
    <t xml:space="preserve">Beam width (m)</t>
  </si>
  <si>
    <t xml:space="preserve">Beam Height (m)</t>
  </si>
  <si>
    <t xml:space="preserve">Beam Length (m)</t>
  </si>
  <si>
    <t xml:space="preserve">Slab thickness (m)</t>
  </si>
  <si>
    <t xml:space="preserve">Formwork (m2)</t>
  </si>
  <si>
    <t xml:space="preserve">Concrete (m3)</t>
  </si>
  <si>
    <t xml:space="preserve">lean (m3)</t>
  </si>
  <si>
    <t xml:space="preserve">crush stone </t>
  </si>
  <si>
    <t xml:space="preserve">area</t>
  </si>
  <si>
    <t xml:space="preserve">Main bar dia </t>
  </si>
  <si>
    <t xml:space="preserve">Main bar (amount)</t>
  </si>
  <si>
    <t xml:space="preserve">weight (kg)</t>
  </si>
  <si>
    <t xml:space="preserve">stirrup</t>
  </si>
  <si>
    <t xml:space="preserve">length(m)</t>
  </si>
  <si>
    <t xml:space="preserve">amount stirrup(pcs)</t>
  </si>
  <si>
    <t xml:space="preserve">side bar dia </t>
  </si>
  <si>
    <t xml:space="preserve">side bar (amount)</t>
  </si>
  <si>
    <t xml:space="preserve">GF</t>
  </si>
  <si>
    <t xml:space="preserve">B1(250x400)</t>
  </si>
  <si>
    <t xml:space="preserve">B2(250x500)</t>
  </si>
  <si>
    <t xml:space="preserve">B3(300x500)</t>
  </si>
  <si>
    <t xml:space="preserve">B4(300x600)</t>
  </si>
  <si>
    <t xml:space="preserve">B5(400x600)</t>
  </si>
  <si>
    <t xml:space="preserve">B6(400x700)</t>
  </si>
  <si>
    <t xml:space="preserve">B7(200x400)</t>
  </si>
  <si>
    <t xml:space="preserve">B8(400x700)</t>
  </si>
  <si>
    <t xml:space="preserve">Beam information</t>
  </si>
  <si>
    <t xml:space="preserve">hook</t>
  </si>
  <si>
    <t xml:space="preserve">MZ</t>
  </si>
  <si>
    <t xml:space="preserve">Grade of Rebar</t>
  </si>
  <si>
    <t xml:space="preserve">SD240</t>
  </si>
  <si>
    <t xml:space="preserve">SD390</t>
  </si>
  <si>
    <t xml:space="preserve">Diametre  ø (mm)</t>
  </si>
  <si>
    <t xml:space="preserve">Area As (cm²)</t>
  </si>
  <si>
    <t xml:space="preserve">Weight  G (kg/m)</t>
  </si>
  <si>
    <t xml:space="preserve">Sum of Quantity</t>
  </si>
  <si>
    <t xml:space="preserve">Anti-Termite with Plastic Membrane</t>
  </si>
  <si>
    <t xml:space="preserve">Crush Stone 40x60mm 100mm Thk.</t>
  </si>
  <si>
    <t xml:space="preserve">Deform Bar, DB10(fy=390 Mpa)</t>
  </si>
  <si>
    <t xml:space="preserve">Deform Bar, DB12(fy=390 Mpa)</t>
  </si>
  <si>
    <t xml:space="preserve">Deform Bar, DB14(fy=390 Mpa)</t>
  </si>
  <si>
    <t xml:space="preserve">Deform Bar, DB16(fy=390 Mpa)</t>
  </si>
  <si>
    <t xml:space="preserve">Deform Bar, DB20(fy=390 Mpa)</t>
  </si>
  <si>
    <t xml:space="preserve">Deform Bar, DB25(fy=390 Mpa)</t>
  </si>
  <si>
    <t xml:space="preserve">Deform Bar, DB32(fy=390 Mpa)</t>
  </si>
  <si>
    <t xml:space="preserve">Lean Concrete, 15Mpa (Cylinder)</t>
  </si>
  <si>
    <t xml:space="preserve">Membrance sheet 2mm thk</t>
  </si>
  <si>
    <t xml:space="preserve">Normal Concrete, 35Mpa (Cylinder), Slump 13+-2.5</t>
  </si>
  <si>
    <t xml:space="preserve">Normal Concrete, 35Mpa (Cylinder), Slump 15+-2.5</t>
  </si>
  <si>
    <t xml:space="preserve">Pile Head Cutting up to required level D1000mm</t>
  </si>
  <si>
    <t xml:space="preserve">Nos</t>
  </si>
  <si>
    <t xml:space="preserve">Pile Head Cutting up to required level D800mm</t>
  </si>
  <si>
    <t xml:space="preserve">PVC Waterbar® V VN 20 (Width 200mm)</t>
  </si>
  <si>
    <t xml:space="preserve">Rebar Testing as per Specification</t>
  </si>
  <si>
    <t xml:space="preserve">Lot</t>
  </si>
  <si>
    <t xml:space="preserve">Round Bar, RB8(fy=250 Mpa)</t>
  </si>
  <si>
    <t xml:space="preserve">Soil Backfill</t>
  </si>
  <si>
    <t xml:space="preserve">Soil Coring for Bored Pile D1000mm, Depth 30m</t>
  </si>
  <si>
    <t xml:space="preserve">Soil Coring for Bored Pile D800mm, Depth 30m</t>
  </si>
  <si>
    <t xml:space="preserve">Sonic Logging Test (SLT)</t>
  </si>
  <si>
    <t xml:space="preserve">Steel Round Pipe (D49x2mm) with rush primer and paint</t>
  </si>
  <si>
    <t xml:space="preserve">Steel Tie Wire 1mm (Estimated 4% of Total Rebar Weight)</t>
  </si>
  <si>
    <t xml:space="preserve">Crush Stone 40x60mm 150mm Thk.</t>
  </si>
  <si>
    <t xml:space="preserve">Total Result</t>
  </si>
  <si>
    <t xml:space="preserve">Dia. (mm)</t>
  </si>
  <si>
    <t xml:space="preserve">Length (m)</t>
  </si>
  <si>
    <t xml:space="preserve">Nuumber (pcs)</t>
  </si>
  <si>
    <t xml:space="preserve">rebar number (pcs)</t>
  </si>
  <si>
    <t xml:space="preserve">main Rebar dia. (mm)</t>
  </si>
  <si>
    <t xml:space="preserve">stirrup length per pipe (m)</t>
  </si>
  <si>
    <t xml:space="preserve">main bar db25(kg)</t>
  </si>
  <si>
    <t xml:space="preserve">stirrup db10 (kg)</t>
  </si>
  <si>
    <t xml:space="preserve">P1 &amp; P2</t>
  </si>
  <si>
    <t xml:space="preserve">P3</t>
  </si>
  <si>
    <t xml:space="preserve">width(m)</t>
  </si>
  <si>
    <t xml:space="preserve">depth(m)</t>
  </si>
  <si>
    <t xml:space="preserve">amount</t>
  </si>
  <si>
    <t xml:space="preserve">Concrete(m3)</t>
  </si>
  <si>
    <t xml:space="preserve">Soil exavation (m3)</t>
  </si>
  <si>
    <t xml:space="preserve">Soil Backfill (m3)</t>
  </si>
  <si>
    <t xml:space="preserve">dia</t>
  </si>
  <si>
    <t xml:space="preserve">length per pcs (m)</t>
  </si>
  <si>
    <t xml:space="preserve">F1</t>
  </si>
  <si>
    <t xml:space="preserve">F2</t>
  </si>
  <si>
    <t xml:space="preserve">F3</t>
  </si>
  <si>
    <t xml:space="preserve">amount column (pcs)</t>
  </si>
  <si>
    <t xml:space="preserve">main bar (mm)</t>
  </si>
  <si>
    <t xml:space="preserve">amount(pcs)</t>
  </si>
  <si>
    <t xml:space="preserve">main bar weight (kg)</t>
  </si>
  <si>
    <t xml:space="preserve">Stirrup dia.(mm)</t>
  </si>
  <si>
    <t xml:space="preserve">Stirrup amount (pcs)</t>
  </si>
  <si>
    <t xml:space="preserve">Stirrup length (m)</t>
  </si>
  <si>
    <t xml:space="preserve">Stirrup weight (kg)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</si>
  <si>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</si>
  <si>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</si>
  <si>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</si>
  <si>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</si>
  <si>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</si>
  <si>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width (m)</t>
  </si>
  <si>
    <t xml:space="preserve">Height (m)</t>
  </si>
  <si>
    <t xml:space="preserve">C7</t>
  </si>
  <si>
    <t xml:space="preserve">main bar dia. (mm)</t>
  </si>
  <si>
    <t xml:space="preserve">amount (pcs)</t>
  </si>
  <si>
    <t xml:space="preserve">B9(200x300)</t>
  </si>
  <si>
    <t xml:space="preserve">Waterproof Concrete, C35/45 Mpa </t>
  </si>
  <si>
    <t xml:space="preserve">Early Strength Concrete, C35/45 Mpa </t>
  </si>
  <si>
    <t xml:space="preserve">Self Compacting Concrete, C35/45 Mpa </t>
  </si>
  <si>
    <t xml:space="preserve">PTB 01</t>
  </si>
  <si>
    <t xml:space="preserve">Contract Budget</t>
  </si>
  <si>
    <t xml:space="preserve">Budget after contract sign off</t>
  </si>
  <si>
    <t xml:space="preserve">PTB 02</t>
  </si>
  <si>
    <t xml:space="preserve">Concept Design Budget</t>
  </si>
  <si>
    <t xml:space="preserve">Budget after completed concept design</t>
  </si>
  <si>
    <t xml:space="preserve">PTB 03</t>
  </si>
  <si>
    <t xml:space="preserve">DDF Design Budget</t>
  </si>
  <si>
    <t xml:space="preserve">Budget after completed design development</t>
  </si>
  <si>
    <t xml:space="preserve">PTB 04</t>
  </si>
  <si>
    <t xml:space="preserve">SD Budget</t>
  </si>
  <si>
    <t xml:space="preserve">Budget after completed shop drawing </t>
  </si>
  <si>
    <t xml:space="preserve">Design Proposal</t>
  </si>
  <si>
    <t xml:space="preserve">Design Concept</t>
  </si>
  <si>
    <t xml:space="preserve">Design Development</t>
  </si>
  <si>
    <t xml:space="preserve">Shop Drawing</t>
  </si>
  <si>
    <t xml:space="preserve">Bank Tower</t>
  </si>
  <si>
    <t xml:space="preserve">BB</t>
  </si>
  <si>
    <t xml:space="preserve">Parking Building</t>
  </si>
  <si>
    <t xml:space="preserve">BX</t>
  </si>
  <si>
    <t xml:space="preserve">BZ</t>
  </si>
  <si>
    <t xml:space="preserve">Boundary Permanent Fence</t>
  </si>
  <si>
    <t xml:space="preserve">Nº</t>
  </si>
  <si>
    <t xml:space="preserve">PTB Code</t>
  </si>
  <si>
    <t xml:space="preserve">Element group</t>
  </si>
  <si>
    <t xml:space="preserve">Element ID</t>
  </si>
  <si>
    <t xml:space="preserve">Brand</t>
  </si>
  <si>
    <t xml:space="preserve">Supplier</t>
  </si>
  <si>
    <t xml:space="preserve">Quantity</t>
  </si>
  <si>
    <t xml:space="preserve">Actual Q.ty</t>
  </si>
  <si>
    <t xml:space="preserve">%</t>
  </si>
  <si>
    <t xml:space="preserve">Labor Net Cost ($)</t>
  </si>
  <si>
    <t xml:space="preserve">Labor Margin (%)</t>
  </si>
  <si>
    <t xml:space="preserve">Labor Rate</t>
  </si>
  <si>
    <t xml:space="preserve">Material Net Cost ($)</t>
  </si>
  <si>
    <t xml:space="preserve">Material Margin (%)</t>
  </si>
  <si>
    <t xml:space="preserve">Material Rate</t>
  </si>
  <si>
    <t xml:space="preserve">Amount</t>
  </si>
  <si>
    <t xml:space="preserve">Package Name</t>
  </si>
  <si>
    <t xml:space="preserve">Bored Pile Head Cutting</t>
  </si>
  <si>
    <t xml:space="preserve">Bored Pile Testing</t>
  </si>
  <si>
    <t xml:space="preserve">Bored Pile Coring</t>
  </si>
  <si>
    <t xml:space="preserve">Steel Tie Wire</t>
  </si>
  <si>
    <t xml:space="preserve">Steel Round Pipe</t>
  </si>
  <si>
    <t xml:space="preserve">Rebar Testing</t>
  </si>
  <si>
    <t xml:space="preserve">Pile Cap &amp; Stump</t>
  </si>
  <si>
    <t xml:space="preserve">Earthwork</t>
  </si>
  <si>
    <t xml:space="preserve">Waterproofing</t>
  </si>
  <si>
    <t xml:space="preserve">Septic tank</t>
  </si>
  <si>
    <t xml:space="preserve">Structural Wall</t>
  </si>
  <si>
    <t xml:space="preserve">slab, beam, column</t>
  </si>
  <si>
    <t xml:space="preserve">04.1F</t>
  </si>
  <si>
    <t xml:space="preserve">05.2F</t>
  </si>
  <si>
    <t xml:space="preserve">06.3F</t>
  </si>
  <si>
    <t xml:space="preserve">07.4F</t>
  </si>
  <si>
    <t xml:space="preserve">08.5F</t>
  </si>
  <si>
    <t xml:space="preserve">09.6F</t>
  </si>
  <si>
    <t xml:space="preserve">10.7F</t>
  </si>
  <si>
    <t xml:space="preserve">11.8F</t>
  </si>
  <si>
    <t xml:space="preserve">12.9F</t>
  </si>
  <si>
    <t xml:space="preserve">13.10F</t>
  </si>
  <si>
    <t xml:space="preserve">14.TR</t>
  </si>
  <si>
    <t xml:space="preserve">Parapet wall &amp; Stiffener Column</t>
  </si>
  <si>
    <t xml:space="preserve">15.RF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</si>
</sst>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@"/>
    <numFmt numFmtId="166" formatCode="_(\$* #,##0.00_);_(\$* \(#,##0.00\);_(\$* \-??_);_(@_)"/>
    <numFmt numFmtId="167" formatCode="0.00%"/>
    <numFmt numFmtId="168" formatCode="#,##0.##"/>
    <numFmt numFmtId="169" formatCode="#,##0.00"/>
    <numFmt numFmtId="170" formatCode="\$#,##0.00;&quot;($&quot;#,##0.00\);\-"/>
    <numFmt numFmtId="171" formatCode="#,##0"/>
    <numFmt numFmtId="172" formatCode="\$#,##0.00;&quot;($&quot;#,##0.00\);\-"/>
    <numFmt numFmtId="173" formatCode="\$#,##0;&quot;($&quot;#,##0\);\-"/>
    <numFmt numFmtId="174" formatCode="\$0.000"/>
    <numFmt numFmtId="175" formatCode="0.00"/>
    <numFmt numFmtId="176" formatCode="#,##0.0"/>
    <numFmt numFmtId="177" formatCode="\$0.00"/>
    <numFmt numFmtId="178" formatCode="0.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4E78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11"/>
      <color rgb="FFFF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3" tint="0.7998"/>
        <bgColor rgb="FFD9E1F2"/>
      </patternFill>
    </fill>
    <fill>
      <patternFill patternType="solid">
        <fgColor theme="5" tint="0.7998"/>
        <bgColor rgb="FFFCE4D6"/>
      </patternFill>
    </fill>
    <fill>
      <patternFill patternType="solid">
        <fgColor theme="4" tint="0.7998"/>
        <bgColor rgb="FFD9E1F2"/>
      </patternFill>
    </fill>
    <fill>
      <patternFill patternType="solid">
        <fgColor theme="0"/>
        <bgColor rgb="FFEDF2F9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BE5D6"/>
      </patternFill>
    </fill>
    <fill>
      <patternFill patternType="solid">
        <fgColor rgb="FFDDEBF7"/>
        <bgColor rgb="FFDAE3F3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BE5D6"/>
      </patternFill>
    </fill>
    <fill>
      <patternFill patternType="solid">
        <fgColor rgb="FFD9E1F2"/>
        <bgColor rgb="FFDAE3F3"/>
      </patternFill>
    </fill>
    <fill>
      <patternFill patternType="solid">
        <fgColor rgb="FFEDF2F9"/>
        <bgColor rgb="FFDDEBF7"/>
      </patternFill>
    </fill>
    <fill>
      <patternFill patternType="solid">
        <fgColor rgb="FFFFD966"/>
        <bgColor rgb="FFFFCC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7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7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9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1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7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9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7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7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9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7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6">
    <dxf>
      <fill>
        <patternFill patternType="solid">
          <fgColor rgb="FFDAE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DC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5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9"/>
      <rgbColor rgb="FFE2EFDA"/>
      <rgbColor rgb="FFFBE5D6"/>
      <rgbColor rgb="FFD9E1F2"/>
      <rgbColor rgb="FFFCE4D6"/>
      <rgbColor rgb="FFDAE3F3"/>
      <rgbColor rgb="FFFFD96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<Relationship Id="rId60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85" createdVersion="3">
  <cacheSource type="worksheet">
    <worksheetSource ref="A1:AA486" sheet="DPCache_Raw Data"/>
  </cacheSource>
  <cacheFields count="27">
    <cacheField name="Nº" numFmtId="0">
      <sharedItems containsString="0" containsBlank="1" count="1">
        <m/>
      </sharedItems>
    </cacheField>
    <cacheField name="PTB Code" numFmtId="0">
      <sharedItems containsString="0" containsBlank="1" count="1">
        <m/>
      </sharedItems>
    </cacheField>
    <cacheField name="Discipline" numFmtId="0">
      <sharedItems count="1">
        <s v="Civil and Structure"/>
      </sharedItems>
    </cacheField>
    <cacheField name="Budget Code" numFmtId="0">
      <sharedItems count="3">
        <s v="B.01"/>
        <s v="B.03"/>
        <s v="B.04"/>
      </sharedItems>
    </cacheField>
    <cacheField name="Building Code" numFmtId="0">
      <sharedItems count="1">
        <s v="BA"/>
      </sharedItems>
    </cacheField>
    <cacheField name="Level" numFmtId="0">
      <sharedItems count="15">
        <s v="01.UG"/>
        <s v="02.GF"/>
        <s v="03.MZ"/>
        <s v="04.1F"/>
        <s v="05.2F"/>
        <s v="06.3F"/>
        <s v="07.4F"/>
        <s v="08.5F"/>
        <s v="09.6F"/>
        <s v="10.7F"/>
        <s v="11.8F"/>
        <s v="12.9F"/>
        <s v="13.10F"/>
        <s v="14.TR"/>
        <s v="15.RF"/>
      </sharedItems>
    </cacheField>
    <cacheField name="Section" numFmtId="0">
      <sharedItems count="2">
        <s v="Sub Structure"/>
        <s v="Super Structure"/>
      </sharedItems>
    </cacheField>
    <cacheField name="Sub Section" numFmtId="0">
      <sharedItems count="9">
        <s v="Bored Pile"/>
        <s v="Parapet wall &amp; Stiffener Column"/>
        <s v="Pile Cap &amp; Stump"/>
        <s v="Septic tank"/>
        <s v="Structural Beam"/>
        <s v="Structural Column"/>
        <s v="Structural Slab"/>
        <s v="Structural Staircase"/>
        <s v="Structural Wall"/>
      </sharedItems>
    </cacheField>
    <cacheField name="Sub Element" numFmtId="0">
      <sharedItems count="16">
        <s v="Anti-Termite"/>
        <s v="Base Preparation"/>
        <s v="Bored Pile Coring"/>
        <s v="Bored Pile Head Cutting"/>
        <s v="Bored Pile Testing"/>
        <s v="Concrete"/>
        <s v="Crush Stone"/>
        <s v="Earthwork"/>
        <s v="Formwork"/>
        <s v="Lean Concrete"/>
        <s v="Rebar"/>
        <s v="Rebar Testing"/>
        <s v="Steel Round Pipe"/>
        <s v="Steel Tie Wire"/>
        <s v="Water Stop"/>
        <s v="Waterproofing"/>
      </sharedItems>
    </cacheField>
    <cacheField name="Material Type" numFmtId="0">
      <sharedItems count="29">
        <s v="Anti-Termite with Plastic Membrane"/>
        <s v="Crush Stone 40x60mm 100mm Thk."/>
        <s v="Crush Stone 40x60mm 150mm Thk."/>
        <s v="Deform Bar, DB10(fy=390 Mpa)"/>
        <s v="Deform Bar, DB12(fy=390 Mpa)"/>
        <s v="Deform Bar, DB14(fy=390 Mpa)"/>
        <s v="Deform Bar, DB16(fy=390 Mpa)"/>
        <s v="Deform Bar, DB20(fy=390 Mpa)"/>
        <s v="Deform Bar, DB25(fy=390 Mpa)"/>
        <s v="Deform Bar, DB32(fy=390 Mpa)"/>
        <s v="Formwork"/>
        <s v="Lean Concrete, 15Mpa (Cylinder)"/>
        <s v="Membrance sheet 2mm thk"/>
        <s v="Normal Concrete, 35Mpa (Cylinder), Slump 13+-2.5"/>
        <s v="Normal Concrete, 35Mpa (Cylinder), Slump 15+-2.5"/>
        <s v="Pile Head Cutting up to required level D1000mm"/>
        <s v="Pile Head Cutting up to required level D800mm"/>
        <s v="PVC Waterbar® V VN 20 (Width 200mm)"/>
        <s v="Rebar Testing as per Specification"/>
        <s v="Round Bar, RB8(fy=250 Mpa)"/>
        <s v="Soil Backfill"/>
        <s v="Soil Coring for Bored Pile D1000mm, Depth 30m"/>
        <s v="Soil Coring for Bored Pile D800mm, Depth 30m"/>
        <s v="Soil Disposal"/>
        <s v="Soil Excavation"/>
        <s v="Sonic Logging Test (SLT)"/>
        <s v="Steel Round Pipe (D49x2mm) with rush primer and paint"/>
        <s v="Steel Tie Wire 1mm (Estimated 4% of Total Rebar Weight)"/>
        <s v="Well Soil Compact"/>
      </sharedItems>
    </cacheField>
    <cacheField name="Element group" numFmtId="0">
      <sharedItems containsString="0" containsBlank="1" count="1">
        <m/>
      </sharedItems>
    </cacheField>
    <cacheField name="Element ID" numFmtId="0">
      <sharedItems containsString="0" containsBlank="1" count="1">
        <m/>
      </sharedItems>
    </cacheField>
    <cacheField name="Description" numFmtId="0">
      <sharedItems containsBlank="1" count="2">
        <s v="slab, beam, column"/>
        <m/>
      </sharedItems>
    </cacheField>
    <cacheField name="Brand" numFmtId="0">
      <sharedItems containsString="0" containsBlank="1" count="1">
        <m/>
      </sharedItems>
    </cacheField>
    <cacheField name="Supplier" numFmtId="0">
      <sharedItems containsString="0" containsBlank="1" count="1">
        <m/>
      </sharedItems>
    </cacheField>
    <cacheField name="Unit" numFmtId="0">
      <sharedItems count="6">
        <s v="kg"/>
        <s v="Lot"/>
        <s v="m"/>
        <s v="m2"/>
        <s v="m3"/>
        <s v="Nos"/>
      </sharedItems>
    </cacheField>
    <cacheField name="Quantity" numFmtId="0">
      <sharedItems containsSemiMixedTypes="0" containsString="0" containsNumber="1" minValue="1" maxValue="33921.812" count="196">
        <n v="1"/>
        <n v="3.5"/>
        <n v="5"/>
        <n v="5.016"/>
        <n v="6.0192"/>
        <n v="7.2695"/>
        <n v="7.3"/>
        <n v="10.5"/>
        <n v="13.342"/>
        <n v="14.56"/>
        <n v="14.8565"/>
        <n v="15.54"/>
        <n v="17"/>
        <n v="18"/>
        <n v="19.2"/>
        <n v="20.05"/>
        <n v="20.31"/>
        <n v="21.85344"/>
        <n v="22"/>
        <n v="22.575"/>
        <n v="23.43"/>
        <n v="26.016"/>
        <n v="27.59"/>
        <n v="27.6"/>
        <n v="31.0992"/>
        <n v="32.90375"/>
        <n v="33.6095"/>
        <n v="34.55"/>
        <n v="37.31904"/>
        <n v="38.304"/>
        <n v="38.42"/>
        <n v="38.976"/>
        <n v="39.312"/>
        <n v="39.9"/>
        <n v="45.864"/>
        <n v="46.74115"/>
        <n v="50.16"/>
        <n v="55.2"/>
        <n v="55.5"/>
        <n v="60"/>
        <n v="60.192"/>
        <n v="66"/>
        <n v="70"/>
        <n v="75.24"/>
        <n v="87.15"/>
        <n v="90.288"/>
        <n v="99.9"/>
        <n v="103.737"/>
        <n v="107.44"/>
        <n v="113.57"/>
        <n v="118.9"/>
        <n v="120.5"/>
        <n v="125.4"/>
        <n v="129.22"/>
        <n v="130.31968"/>
        <n v="130.937568"/>
        <n v="131.43"/>
        <n v="132.846528"/>
        <n v="134.746"/>
        <n v="138.84339168"/>
        <n v="139.7"/>
        <n v="145.57"/>
        <n v="150.48"/>
        <n v="150.5"/>
        <n v="151.806016"/>
        <n v="165.289752"/>
        <n v="165.3"/>
        <n v="166.5"/>
        <n v="172.269461333333"/>
        <n v="173.88"/>
        <n v="174.3144"/>
        <n v="178.336288"/>
        <n v="184.7622"/>
        <n v="190.08"/>
        <n v="194.343525333333"/>
        <n v="200.935"/>
        <n v="203.28"/>
        <n v="204.96"/>
        <n v="207"/>
        <n v="207.312"/>
        <n v="213.68256"/>
        <n v="218.876"/>
        <n v="219.955"/>
        <n v="221.76"/>
        <n v="222"/>
        <n v="227.8608"/>
        <n v="231.698688"/>
        <n v="241.864"/>
        <n v="254.384"/>
        <n v="266"/>
        <n v="268.460704"/>
        <n v="281.1408"/>
        <n v="288"/>
        <n v="288.8664"/>
        <n v="293.692"/>
        <n v="295.33104"/>
        <n v="308.3184"/>
        <n v="313.0752"/>
        <n v="314.331568"/>
        <n v="314.89"/>
        <n v="319.12"/>
        <n v="322.540664"/>
        <n v="327.8016"/>
        <n v="359.03"/>
        <n v="365.3368"/>
        <n v="370"/>
        <n v="372.681984"/>
        <n v="372.96"/>
        <n v="374.163685042544"/>
        <n v="390.24"/>
        <n v="418.0792"/>
        <n v="422.4"/>
        <n v="426.141333333333"/>
        <n v="429.095445333333"/>
        <n v="436.524397333333"/>
        <n v="446.526"/>
        <n v="450.227232"/>
        <n v="465.784"/>
        <n v="467.24"/>
        <n v="472.1376"/>
        <n v="487.008666666667"/>
        <n v="492.8652"/>
        <n v="528.655448"/>
        <n v="535.9848"/>
        <n v="545.0853376"/>
        <n v="552"/>
        <n v="556"/>
        <n v="581"/>
        <n v="601.704"/>
        <n v="601.92"/>
        <n v="619.9862272"/>
        <n v="620.0733864"/>
        <n v="624.1948"/>
        <n v="711.36"/>
        <n v="722.304"/>
        <n v="727.168"/>
        <n v="822.016"/>
        <n v="828.183333333333"/>
        <n v="918.5472"/>
        <n v="948.48"/>
        <n v="1016.8632"/>
        <n v="1069.636584"/>
        <n v="1071.6384"/>
        <n v="1072.33333333333"/>
        <n v="1122.4736"/>
        <n v="1148.424"/>
        <n v="1231.0272"/>
        <n v="1283.17"/>
        <n v="1301.2752"/>
        <n v="1372.388"/>
        <n v="1436.22"/>
        <n v="1459.027936"/>
        <n v="1468.136"/>
        <n v="1575.4752"/>
        <n v="1600.7232"/>
        <n v="1659.632"/>
        <n v="1694"/>
        <n v="1700.16"/>
        <n v="1819.6614"/>
        <n v="1889.9944"/>
        <n v="1914.96"/>
        <n v="1921.92"/>
        <n v="1927.44333333333"/>
        <n v="1953.072"/>
        <n v="2016.09333333333"/>
        <n v="2060.343"/>
        <n v="2118.4128"/>
        <n v="2201"/>
        <n v="2411.8152"/>
        <n v="2448.5328"/>
        <n v="2553.8864"/>
        <n v="2623.93344"/>
        <n v="2639.1376"/>
        <n v="2720.1216"/>
        <n v="2780.3248"/>
        <n v="2823.61142"/>
        <n v="2914.92"/>
        <n v="2934.75"/>
        <n v="3061.25568"/>
        <n v="3408.4576"/>
        <n v="4568.1168"/>
        <n v="4821.5232"/>
        <n v="4876.3568"/>
        <n v="5312.997"/>
        <n v="5365.9008"/>
        <n v="5372"/>
        <n v="7335"/>
        <n v="7527.2208"/>
        <n v="9303.04"/>
        <n v="10516.48"/>
        <n v="10560"/>
        <n v="10611.798"/>
        <n v="11514.5"/>
        <n v="11795.979"/>
        <n v="12843.4262"/>
        <n v="33921.812"/>
      </sharedItems>
    </cacheField>
    <cacheField name="Actual Q.ty" numFmtId="0">
      <sharedItems containsSemiMixedTypes="0" containsString="0" containsNumber="1" minValue="1" maxValue="33921.812" count="203">
        <n v="1"/>
        <n v="3.5"/>
        <n v="5"/>
        <n v="5.016"/>
        <n v="6.0192"/>
        <n v="7.2695"/>
        <n v="7.3"/>
        <n v="10.5"/>
        <n v="13.342"/>
        <n v="14.56"/>
        <n v="14.8565"/>
        <n v="15.54"/>
        <n v="17"/>
        <n v="18"/>
        <n v="19.2"/>
        <n v="20.05"/>
        <n v="20.31"/>
        <n v="21.85344"/>
        <n v="22"/>
        <n v="22.575"/>
        <n v="23.43"/>
        <n v="26.016"/>
        <n v="27.59"/>
        <n v="27.6"/>
        <n v="31.0992"/>
        <n v="31.92"/>
        <n v="32.90375"/>
        <n v="33.6095"/>
        <n v="34.55"/>
        <n v="37.31904"/>
        <n v="38.304"/>
        <n v="38.42"/>
        <n v="38.976"/>
        <n v="39.312"/>
        <n v="39.9"/>
        <n v="45.6"/>
        <n v="45.864"/>
        <n v="46.74115"/>
        <n v="50.16"/>
        <n v="55.2"/>
        <n v="55.5"/>
        <n v="60.192"/>
        <n v="66"/>
        <n v="70"/>
        <n v="75.24"/>
        <n v="87.15"/>
        <n v="90.288"/>
        <n v="99.9"/>
        <n v="103.737"/>
        <n v="107.44"/>
        <n v="113.57"/>
        <n v="118.9"/>
        <n v="120.5"/>
        <n v="125.4"/>
        <n v="129.22"/>
        <n v="130.31968"/>
        <n v="130.937568"/>
        <n v="131.43"/>
        <n v="132.846528"/>
        <n v="134.746"/>
        <n v="138.84339168"/>
        <n v="139.7"/>
        <n v="145.57"/>
        <n v="150.48"/>
        <n v="150.5"/>
        <n v="151.806016"/>
        <n v="165.289752"/>
        <n v="165.3"/>
        <n v="166.5"/>
        <n v="169.4"/>
        <n v="172.269461333333"/>
        <n v="173.88"/>
        <n v="174.3144"/>
        <n v="178.336288"/>
        <n v="184.7622"/>
        <n v="190.08"/>
        <n v="194.343525333333"/>
        <n v="200.935"/>
        <n v="203.28"/>
        <n v="204.96"/>
        <n v="207"/>
        <n v="207.312"/>
        <n v="213.68256"/>
        <n v="218.876"/>
        <n v="219.955"/>
        <n v="221.76"/>
        <n v="222"/>
        <n v="227.8608"/>
        <n v="231.698688"/>
        <n v="241.864"/>
        <n v="242"/>
        <n v="254.384"/>
        <n v="266"/>
        <n v="268.460704"/>
        <n v="281.1408"/>
        <n v="288"/>
        <n v="288.8664"/>
        <n v="293.692"/>
        <n v="295.33104"/>
        <n v="308.3184"/>
        <n v="313.0752"/>
        <n v="314.331568"/>
        <n v="314.89"/>
        <n v="319.12"/>
        <n v="322.540664"/>
        <n v="327.8016"/>
        <n v="359.03"/>
        <n v="365.3368"/>
        <n v="370"/>
        <n v="372.681984"/>
        <n v="372.96"/>
        <n v="374.163685042544"/>
        <n v="390.24"/>
        <n v="418.0792"/>
        <n v="422.4"/>
        <n v="426.141333333333"/>
        <n v="429.095445333333"/>
        <n v="436.524397333333"/>
        <n v="446.526"/>
        <n v="450.227232"/>
        <n v="465.784"/>
        <n v="467.24"/>
        <n v="472.1376"/>
        <n v="487.008666666667"/>
        <n v="492.8652"/>
        <n v="528.655448"/>
        <n v="535.9848"/>
        <n v="545.0853376"/>
        <n v="552"/>
        <n v="556"/>
        <n v="581"/>
        <n v="601.704"/>
        <n v="601.92"/>
        <n v="619.9862272"/>
        <n v="620.0733864"/>
        <n v="624.1948"/>
        <n v="711.36"/>
        <n v="722.304"/>
        <n v="727.168"/>
        <n v="822.016"/>
        <n v="828.183333333333"/>
        <n v="918.5472"/>
        <n v="948.48"/>
        <n v="1016.8632"/>
        <n v="1069.636584"/>
        <n v="1071.6384"/>
        <n v="1072.33333333333"/>
        <n v="1122.4736"/>
        <n v="1148.424"/>
        <n v="1231.0272"/>
        <n v="1283.17"/>
        <n v="1301.2752"/>
        <n v="1372.388"/>
        <n v="1436.22"/>
        <n v="1459.027936"/>
        <n v="1468.136"/>
        <n v="1575.4752"/>
        <n v="1600.7232"/>
        <n v="1619.9952"/>
        <n v="1659.632"/>
        <n v="1694"/>
        <n v="1700.16"/>
        <n v="1819.6614"/>
        <n v="1889.9944"/>
        <n v="1914.96"/>
        <n v="1921.92"/>
        <n v="1927.44333333333"/>
        <n v="1953.072"/>
        <n v="2016.09333333333"/>
        <n v="2060.343"/>
        <n v="2118.4128"/>
        <n v="2201"/>
        <n v="2294.9932"/>
        <n v="2411.8152"/>
        <n v="2448.5328"/>
        <n v="2553.8864"/>
        <n v="2623.93344"/>
        <n v="2639.1376"/>
        <n v="2720.1216"/>
        <n v="2780.3248"/>
        <n v="2823.61142"/>
        <n v="2914.92"/>
        <n v="2934.75"/>
        <n v="3061.25568"/>
        <n v="3408.4576"/>
        <n v="4172.472"/>
        <n v="4568.1168"/>
        <n v="4821.5232"/>
        <n v="4876.3568"/>
        <n v="5312.997"/>
        <n v="5365.9008"/>
        <n v="5372"/>
        <n v="5563.296"/>
        <n v="7335"/>
        <n v="7527.2208"/>
        <n v="9303.04"/>
        <n v="10516.48"/>
        <n v="10560"/>
        <n v="10611.798"/>
        <n v="11514.5"/>
        <n v="11795.979"/>
        <n v="12843.4262"/>
        <n v="33921.812"/>
      </sharedItems>
    </cacheField>
    <cacheField name="%" numFmtId="0">
      <sharedItems containsString="0" containsBlank="1" containsNumber="1" containsInteger="1" minValue="0" maxValue="0" count="2">
        <n v="0"/>
        <m/>
      </sharedItems>
    </cacheField>
    <cacheField name="Labor Net Cost ($)" numFmtId="0">
      <sharedItems containsSemiMixedTypes="0" containsString="0" containsNumber="1" minValue="0" maxValue="55" count="18">
        <n v="0"/>
        <n v="0.05"/>
        <n v="0.08"/>
        <n v="0.09"/>
        <n v="0.1"/>
        <n v="0.11"/>
        <n v="0.12"/>
        <n v="1"/>
        <n v="1.5"/>
        <n v="2"/>
        <n v="3"/>
        <n v="4"/>
        <n v="6"/>
        <n v="7"/>
        <n v="8"/>
        <n v="10"/>
        <n v="40"/>
        <n v="55"/>
      </sharedItems>
    </cacheField>
    <cacheField name="Labor Margin (%)" numFmtId="0">
      <sharedItems containsSemiMixedTypes="0" containsString="0" containsNumber="1" minValue="0" maxValue="0.2" count="2">
        <n v="0"/>
        <n v="0.2"/>
      </sharedItems>
    </cacheField>
    <cacheField name="Labor Rate" numFmtId="0">
      <sharedItems containsSemiMixedTypes="0" containsString="0" containsNumber="1" minValue="0" maxValue="66" count="18">
        <n v="0"/>
        <n v="0.06"/>
        <n v="0.096"/>
        <n v="0.108"/>
        <n v="0.12"/>
        <n v="0.132"/>
        <n v="0.144"/>
        <n v="1.2"/>
        <n v="1.8"/>
        <n v="2.4"/>
        <n v="3.6"/>
        <n v="4.8"/>
        <n v="7.2"/>
        <n v="8.4"/>
        <n v="9.6"/>
        <n v="12"/>
        <n v="48"/>
        <n v="66"/>
      </sharedItems>
    </cacheField>
    <cacheField name="Material Net Cost ($)" numFmtId="0">
      <sharedItems containsSemiMixedTypes="0" containsString="0" containsNumber="1" minValue="0" maxValue="350" count="22">
        <n v="0"/>
        <n v="0.71"/>
        <n v="0.72"/>
        <n v="0.73"/>
        <n v="0.74"/>
        <n v="0.75"/>
        <n v="0.76"/>
        <n v="0.77"/>
        <n v="0.78"/>
        <n v="1.2"/>
        <n v="2.5"/>
        <n v="4"/>
        <n v="4.5"/>
        <n v="5"/>
        <n v="6.5"/>
        <n v="18"/>
        <n v="50"/>
        <n v="75"/>
        <n v="98"/>
        <n v="200"/>
        <n v="300"/>
        <n v="350"/>
      </sharedItems>
    </cacheField>
    <cacheField name="Material Margin (%)" numFmtId="0">
      <sharedItems containsSemiMixedTypes="0" containsString="0" containsNumber="1" minValue="0" maxValue="0.12" count="3">
        <n v="0"/>
        <n v="0.1"/>
        <n v="0.12"/>
      </sharedItems>
    </cacheField>
    <cacheField name="Material Rate" numFmtId="0">
      <sharedItems containsSemiMixedTypes="0" containsString="0" containsNumber="1" minValue="0" maxValue="385" count="22">
        <n v="0"/>
        <n v="0.7952"/>
        <n v="0.8064"/>
        <n v="0.8176"/>
        <n v="0.8288"/>
        <n v="0.84"/>
        <n v="0.8512"/>
        <n v="0.8624"/>
        <n v="0.8736"/>
        <n v="1.344"/>
        <n v="2.8"/>
        <n v="4.48"/>
        <n v="5.04"/>
        <n v="5.6"/>
        <n v="7.28"/>
        <n v="20.16"/>
        <n v="55"/>
        <n v="84"/>
        <n v="109.76"/>
        <n v="220"/>
        <n v="330"/>
        <n v="385"/>
      </sharedItems>
    </cacheField>
    <cacheField name="Amount" numFmtId="0">
      <sharedItems containsSemiMixedTypes="0" containsString="0" containsNumber="1" minValue="35.15808" maxValue="44660.1774466781" count="200">
        <n v="35.15808"/>
        <n v="43.6632768"/>
        <n v="50.481024"/>
        <n v="52.39593216"/>
        <n v="60.5772288"/>
        <n v="70.36876"/>
        <n v="98.22168"/>
        <n v="108.127616"/>
        <n v="113.04"/>
        <n v="118.97952"/>
        <n v="142.775424"/>
        <n v="163.7028"/>
        <n v="168"/>
        <n v="171.38591808"/>
        <n v="176.940288"/>
        <n v="182.96883072"/>
        <n v="183.836345472"/>
        <n v="185.94467808"/>
        <n v="186.516525312"/>
        <n v="194.93612191872"/>
        <n v="197.784577536"/>
        <n v="210.6432"/>
        <n v="210.9606912"/>
        <n v="213.135646464"/>
        <n v="220"/>
        <n v="221.362712"/>
        <n v="224.03273856"/>
        <n v="232.066811808"/>
        <n v="235.4578304"/>
        <n v="241.866323712"/>
        <n v="245.76"/>
        <n v="246.1208064"/>
        <n v="249.48"/>
        <n v="250.384148352"/>
        <n v="272.858309568"/>
        <n v="276.41763456"/>
        <n v="284.01344448"/>
        <n v="290.369478528"/>
        <n v="297.04574976"/>
        <n v="298.8609792"/>
        <n v="307.301904"/>
        <n v="315.432"/>
        <n v="323.4"/>
        <n v="325.304957952"/>
        <n v="330"/>
        <n v="345.9456"/>
        <n v="366.694272"/>
        <n v="376.8"/>
        <n v="376.918828416"/>
        <n v="425.43739392"/>
        <n v="427.1755977216"/>
        <n v="432.8790336"/>
        <n v="433.6414208"/>
        <n v="441.321521472"/>
        <n v="447.96415488"/>
        <n v="452.847092256"/>
        <n v="468.7650176"/>
        <n v="490.125522133334"/>
        <n v="496.01953728"/>
        <n v="508.54237824"/>
        <n v="512.9328672"/>
        <n v="523.245505536"/>
        <n v="556.9372224"/>
        <n v="582.28"/>
        <n v="591.807744"/>
        <n v="593.0496"/>
        <n v="602.450005248"/>
        <n v="610.74816"/>
        <n v="612.880253856"/>
        <n v="628.18964672"/>
        <n v="656.00496"/>
        <n v="658.434816"/>
        <n v="673.0667008"/>
        <n v="674.52"/>
        <n v="710.1692928"/>
        <n v="732.897792"/>
        <n v="742.232248992"/>
        <n v="760.8580096"/>
        <n v="765.2998139904"/>
        <n v="816"/>
        <n v="842.75936"/>
        <n v="870.4606629888"/>
        <n v="870.5830345056"/>
        <n v="877.913088"/>
        <n v="903.11560704"/>
        <n v="963.072"/>
        <n v="964.79980416"/>
        <n v="1036.8"/>
        <n v="1053.63487488"/>
        <n v="1065.6"/>
        <n v="1077.574656"/>
        <n v="1091.2064"/>
        <n v="1139.43877632"/>
        <n v="1155.6864"/>
        <n v="1210"/>
        <n v="1279.41377664"/>
        <n v="1302.1217344"/>
        <n v="1311.552"/>
        <n v="1372.7406"/>
        <n v="1378.7712"/>
        <n v="1382.4"/>
        <n v="1392.9674368"/>
        <n v="1453.696"/>
        <n v="1494.81086976"/>
        <n v="1501.769763936"/>
        <n v="1518.76617216"/>
        <n v="1521.92"/>
        <n v="1528.6656"/>
        <n v="1534.224384"/>
        <n v="1542.4"/>
        <n v="1574.6588416"/>
        <n v="1624.52192"/>
        <n v="1654.016"/>
        <n v="1684.27859184"/>
        <n v="1734.340608"/>
        <n v="1788.16"/>
        <n v="1807.7634432"/>
        <n v="1838.3616"/>
        <n v="1892.1504"/>
        <n v="1907.0534808"/>
        <n v="1923.25830144"/>
        <n v="1925"/>
        <n v="1926.4"/>
        <n v="1961.366336"/>
        <n v="2048.475222144"/>
        <n v="2051.576576"/>
        <n v="2082.82346496"/>
        <n v="2115.84"/>
        <n v="2208"/>
        <n v="2288.33026176"/>
        <n v="2407.39744896"/>
        <n v="2433.024"/>
        <n v="2441.288"/>
        <n v="2472.9456"/>
        <n v="2508.96509952"/>
        <n v="2550.24"/>
        <n v="2571.968"/>
        <n v="2579.851358208"/>
        <n v="2594.80008832"/>
        <n v="2598.83480064"/>
        <n v="2601.984"/>
        <n v="2623.488"/>
        <n v="2660.8748544"/>
        <n v="2674.42355712"/>
        <n v="2748.732"/>
        <n v="2838.528"/>
        <n v="2852.8368"/>
        <n v="2865.949344"/>
        <n v="2873.306980992"/>
        <n v="2986.4016"/>
        <n v="3009.826584576"/>
        <n v="3167.70816"/>
        <n v="3351.19551232"/>
        <n v="3359.3584"/>
        <n v="3404.8"/>
        <n v="4006.3606"/>
        <n v="4030.592"/>
        <n v="4084.736"/>
        <n v="4092.29272"/>
        <n v="4122.26860032"/>
        <n v="4195.86048"/>
        <n v="4400.42437632"/>
        <n v="4462.80187392"/>
        <n v="4595.584"/>
        <n v="4619.412"/>
        <n v="4663.89504"/>
        <n v="4678.0192"/>
        <n v="4736"/>
        <n v="4745.71776"/>
        <n v="4786.62912"/>
        <n v="4842.18888192"/>
        <n v="4858.224"/>
        <n v="4917.7100232"/>
        <n v="4995.072"/>
        <n v="5466.5472"/>
        <n v="5512.4352"/>
        <n v="5584.40064"/>
        <n v="5610"/>
        <n v="5691.202424"/>
        <n v="5715.5328"/>
        <n v="6159.216"/>
        <n v="6757.68"/>
        <n v="6792.56404992"/>
        <n v="7116.8"/>
        <n v="7436.8"/>
        <n v="7464.096"/>
        <n v="8036.16"/>
        <n v="8290.869248"/>
        <n v="9372.286976"/>
        <n v="9457.2343776"/>
        <n v="10382.592"/>
        <n v="10611.384"/>
        <n v="10918.3581624"/>
        <n v="11717.1552"/>
        <n v="12631.01712"/>
        <n v="13069.47050112"/>
        <n v="15054.84"/>
        <n v="16406.67296"/>
        <n v="30611.0431488"/>
        <n v="44660.1774466781"/>
      </sharedItems>
    </cacheField>
    <cacheField name="Package Name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5">
  <r>
    <x v="0"/>
    <x v="0"/>
    <x v="0"/>
    <x v="0"/>
    <x v="0"/>
    <x v="0"/>
    <x v="0"/>
    <x v="0"/>
    <x v="3"/>
    <x v="15"/>
    <x v="0"/>
    <x v="0"/>
    <x v="1"/>
    <x v="0"/>
    <x v="0"/>
    <x v="5"/>
    <x v="2"/>
    <x v="2"/>
    <x v="0"/>
    <x v="17"/>
    <x v="1"/>
    <x v="17"/>
    <x v="0"/>
    <x v="0"/>
    <x v="0"/>
    <x v="44"/>
    <x v="0"/>
  </r>
  <r>
    <x v="0"/>
    <x v="0"/>
    <x v="0"/>
    <x v="0"/>
    <x v="0"/>
    <x v="0"/>
    <x v="0"/>
    <x v="0"/>
    <x v="3"/>
    <x v="16"/>
    <x v="0"/>
    <x v="0"/>
    <x v="1"/>
    <x v="0"/>
    <x v="0"/>
    <x v="5"/>
    <x v="12"/>
    <x v="12"/>
    <x v="0"/>
    <x v="16"/>
    <x v="1"/>
    <x v="16"/>
    <x v="0"/>
    <x v="0"/>
    <x v="0"/>
    <x v="79"/>
    <x v="0"/>
  </r>
  <r>
    <x v="0"/>
    <x v="0"/>
    <x v="0"/>
    <x v="0"/>
    <x v="0"/>
    <x v="0"/>
    <x v="0"/>
    <x v="0"/>
    <x v="4"/>
    <x v="25"/>
    <x v="0"/>
    <x v="0"/>
    <x v="1"/>
    <x v="0"/>
    <x v="0"/>
    <x v="5"/>
    <x v="18"/>
    <x v="18"/>
    <x v="0"/>
    <x v="0"/>
    <x v="0"/>
    <x v="0"/>
    <x v="16"/>
    <x v="1"/>
    <x v="16"/>
    <x v="94"/>
    <x v="0"/>
  </r>
  <r>
    <x v="0"/>
    <x v="0"/>
    <x v="0"/>
    <x v="0"/>
    <x v="0"/>
    <x v="0"/>
    <x v="0"/>
    <x v="0"/>
    <x v="2"/>
    <x v="21"/>
    <x v="0"/>
    <x v="0"/>
    <x v="1"/>
    <x v="0"/>
    <x v="0"/>
    <x v="5"/>
    <x v="2"/>
    <x v="2"/>
    <x v="0"/>
    <x v="0"/>
    <x v="0"/>
    <x v="0"/>
    <x v="21"/>
    <x v="1"/>
    <x v="21"/>
    <x v="121"/>
    <x v="0"/>
  </r>
  <r>
    <x v="0"/>
    <x v="0"/>
    <x v="0"/>
    <x v="0"/>
    <x v="0"/>
    <x v="0"/>
    <x v="0"/>
    <x v="0"/>
    <x v="2"/>
    <x v="22"/>
    <x v="0"/>
    <x v="0"/>
    <x v="1"/>
    <x v="0"/>
    <x v="0"/>
    <x v="5"/>
    <x v="12"/>
    <x v="12"/>
    <x v="0"/>
    <x v="0"/>
    <x v="0"/>
    <x v="0"/>
    <x v="20"/>
    <x v="1"/>
    <x v="20"/>
    <x v="177"/>
    <x v="0"/>
  </r>
  <r>
    <x v="0"/>
    <x v="0"/>
    <x v="0"/>
    <x v="0"/>
    <x v="0"/>
    <x v="0"/>
    <x v="0"/>
    <x v="0"/>
    <x v="5"/>
    <x v="14"/>
    <x v="0"/>
    <x v="0"/>
    <x v="1"/>
    <x v="0"/>
    <x v="0"/>
    <x v="4"/>
    <x v="108"/>
    <x v="111"/>
    <x v="1"/>
    <x v="14"/>
    <x v="1"/>
    <x v="14"/>
    <x v="18"/>
    <x v="2"/>
    <x v="18"/>
    <x v="199"/>
    <x v="0"/>
  </r>
  <r>
    <x v="0"/>
    <x v="0"/>
    <x v="0"/>
    <x v="0"/>
    <x v="0"/>
    <x v="0"/>
    <x v="0"/>
    <x v="0"/>
    <x v="10"/>
    <x v="3"/>
    <x v="0"/>
    <x v="0"/>
    <x v="1"/>
    <x v="0"/>
    <x v="0"/>
    <x v="0"/>
    <x v="170"/>
    <x v="175"/>
    <x v="1"/>
    <x v="6"/>
    <x v="1"/>
    <x v="6"/>
    <x v="8"/>
    <x v="2"/>
    <x v="8"/>
    <x v="139"/>
    <x v="0"/>
  </r>
  <r>
    <x v="0"/>
    <x v="0"/>
    <x v="0"/>
    <x v="0"/>
    <x v="0"/>
    <x v="0"/>
    <x v="0"/>
    <x v="0"/>
    <x v="10"/>
    <x v="8"/>
    <x v="0"/>
    <x v="0"/>
    <x v="1"/>
    <x v="0"/>
    <x v="0"/>
    <x v="0"/>
    <x v="195"/>
    <x v="202"/>
    <x v="1"/>
    <x v="2"/>
    <x v="1"/>
    <x v="2"/>
    <x v="2"/>
    <x v="2"/>
    <x v="2"/>
    <x v="198"/>
    <x v="0"/>
  </r>
  <r>
    <x v="0"/>
    <x v="0"/>
    <x v="0"/>
    <x v="0"/>
    <x v="0"/>
    <x v="0"/>
    <x v="0"/>
    <x v="0"/>
    <x v="13"/>
    <x v="27"/>
    <x v="0"/>
    <x v="0"/>
    <x v="1"/>
    <x v="0"/>
    <x v="0"/>
    <x v="0"/>
    <x v="151"/>
    <x v="154"/>
    <x v="1"/>
    <x v="1"/>
    <x v="1"/>
    <x v="1"/>
    <x v="9"/>
    <x v="2"/>
    <x v="9"/>
    <x v="124"/>
    <x v="0"/>
  </r>
  <r>
    <x v="0"/>
    <x v="0"/>
    <x v="0"/>
    <x v="0"/>
    <x v="0"/>
    <x v="0"/>
    <x v="0"/>
    <x v="0"/>
    <x v="12"/>
    <x v="26"/>
    <x v="0"/>
    <x v="0"/>
    <x v="1"/>
    <x v="0"/>
    <x v="0"/>
    <x v="2"/>
    <x v="167"/>
    <x v="171"/>
    <x v="1"/>
    <x v="8"/>
    <x v="1"/>
    <x v="8"/>
    <x v="12"/>
    <x v="2"/>
    <x v="12"/>
    <x v="196"/>
    <x v="0"/>
  </r>
  <r>
    <x v="0"/>
    <x v="0"/>
    <x v="0"/>
    <x v="0"/>
    <x v="0"/>
    <x v="0"/>
    <x v="0"/>
    <x v="0"/>
    <x v="11"/>
    <x v="18"/>
    <x v="0"/>
    <x v="0"/>
    <x v="1"/>
    <x v="0"/>
    <x v="0"/>
    <x v="1"/>
    <x v="0"/>
    <x v="0"/>
    <x v="0"/>
    <x v="0"/>
    <x v="0"/>
    <x v="0"/>
    <x v="19"/>
    <x v="1"/>
    <x v="19"/>
    <x v="24"/>
    <x v="0"/>
  </r>
  <r>
    <x v="0"/>
    <x v="0"/>
    <x v="0"/>
    <x v="1"/>
    <x v="0"/>
    <x v="0"/>
    <x v="0"/>
    <x v="2"/>
    <x v="7"/>
    <x v="24"/>
    <x v="0"/>
    <x v="0"/>
    <x v="1"/>
    <x v="0"/>
    <x v="0"/>
    <x v="4"/>
    <x v="147"/>
    <x v="150"/>
    <x v="1"/>
    <x v="10"/>
    <x v="1"/>
    <x v="10"/>
    <x v="0"/>
    <x v="0"/>
    <x v="0"/>
    <x v="164"/>
    <x v="0"/>
  </r>
  <r>
    <x v="0"/>
    <x v="0"/>
    <x v="0"/>
    <x v="1"/>
    <x v="0"/>
    <x v="0"/>
    <x v="0"/>
    <x v="2"/>
    <x v="7"/>
    <x v="23"/>
    <x v="0"/>
    <x v="0"/>
    <x v="1"/>
    <x v="0"/>
    <x v="0"/>
    <x v="4"/>
    <x v="147"/>
    <x v="150"/>
    <x v="1"/>
    <x v="11"/>
    <x v="1"/>
    <x v="11"/>
    <x v="0"/>
    <x v="0"/>
    <x v="0"/>
    <x v="180"/>
    <x v="0"/>
  </r>
  <r>
    <x v="0"/>
    <x v="0"/>
    <x v="0"/>
    <x v="1"/>
    <x v="0"/>
    <x v="0"/>
    <x v="0"/>
    <x v="2"/>
    <x v="7"/>
    <x v="20"/>
    <x v="0"/>
    <x v="0"/>
    <x v="1"/>
    <x v="0"/>
    <x v="0"/>
    <x v="4"/>
    <x v="145"/>
    <x v="148"/>
    <x v="1"/>
    <x v="11"/>
    <x v="1"/>
    <x v="11"/>
    <x v="0"/>
    <x v="0"/>
    <x v="0"/>
    <x v="175"/>
    <x v="0"/>
  </r>
  <r>
    <x v="0"/>
    <x v="0"/>
    <x v="0"/>
    <x v="1"/>
    <x v="0"/>
    <x v="0"/>
    <x v="0"/>
    <x v="2"/>
    <x v="5"/>
    <x v="13"/>
    <x v="0"/>
    <x v="0"/>
    <x v="1"/>
    <x v="0"/>
    <x v="0"/>
    <x v="4"/>
    <x v="58"/>
    <x v="59"/>
    <x v="1"/>
    <x v="15"/>
    <x v="1"/>
    <x v="15"/>
    <x v="18"/>
    <x v="2"/>
    <x v="18"/>
    <x v="197"/>
    <x v="0"/>
  </r>
  <r>
    <x v="0"/>
    <x v="0"/>
    <x v="0"/>
    <x v="1"/>
    <x v="0"/>
    <x v="0"/>
    <x v="0"/>
    <x v="2"/>
    <x v="8"/>
    <x v="10"/>
    <x v="0"/>
    <x v="0"/>
    <x v="1"/>
    <x v="0"/>
    <x v="0"/>
    <x v="3"/>
    <x v="75"/>
    <x v="77"/>
    <x v="1"/>
    <x v="12"/>
    <x v="1"/>
    <x v="12"/>
    <x v="13"/>
    <x v="2"/>
    <x v="13"/>
    <x v="136"/>
    <x v="0"/>
  </r>
  <r>
    <x v="0"/>
    <x v="0"/>
    <x v="0"/>
    <x v="1"/>
    <x v="0"/>
    <x v="0"/>
    <x v="0"/>
    <x v="2"/>
    <x v="10"/>
    <x v="3"/>
    <x v="0"/>
    <x v="0"/>
    <x v="1"/>
    <x v="0"/>
    <x v="0"/>
    <x v="0"/>
    <x v="27"/>
    <x v="28"/>
    <x v="1"/>
    <x v="6"/>
    <x v="1"/>
    <x v="6"/>
    <x v="8"/>
    <x v="2"/>
    <x v="8"/>
    <x v="0"/>
    <x v="0"/>
  </r>
  <r>
    <x v="0"/>
    <x v="0"/>
    <x v="0"/>
    <x v="1"/>
    <x v="0"/>
    <x v="0"/>
    <x v="0"/>
    <x v="2"/>
    <x v="10"/>
    <x v="4"/>
    <x v="0"/>
    <x v="0"/>
    <x v="1"/>
    <x v="0"/>
    <x v="0"/>
    <x v="0"/>
    <x v="172"/>
    <x v="177"/>
    <x v="1"/>
    <x v="5"/>
    <x v="1"/>
    <x v="5"/>
    <x v="6"/>
    <x v="2"/>
    <x v="6"/>
    <x v="138"/>
    <x v="0"/>
  </r>
  <r>
    <x v="0"/>
    <x v="0"/>
    <x v="0"/>
    <x v="1"/>
    <x v="0"/>
    <x v="0"/>
    <x v="0"/>
    <x v="2"/>
    <x v="10"/>
    <x v="6"/>
    <x v="0"/>
    <x v="0"/>
    <x v="1"/>
    <x v="0"/>
    <x v="0"/>
    <x v="0"/>
    <x v="149"/>
    <x v="152"/>
    <x v="1"/>
    <x v="4"/>
    <x v="1"/>
    <x v="4"/>
    <x v="4"/>
    <x v="2"/>
    <x v="4"/>
    <x v="96"/>
    <x v="0"/>
  </r>
  <r>
    <x v="0"/>
    <x v="0"/>
    <x v="0"/>
    <x v="1"/>
    <x v="0"/>
    <x v="0"/>
    <x v="0"/>
    <x v="2"/>
    <x v="10"/>
    <x v="7"/>
    <x v="0"/>
    <x v="0"/>
    <x v="1"/>
    <x v="0"/>
    <x v="0"/>
    <x v="0"/>
    <x v="193"/>
    <x v="200"/>
    <x v="1"/>
    <x v="3"/>
    <x v="1"/>
    <x v="3"/>
    <x v="3"/>
    <x v="2"/>
    <x v="3"/>
    <x v="192"/>
    <x v="0"/>
  </r>
  <r>
    <x v="0"/>
    <x v="0"/>
    <x v="0"/>
    <x v="1"/>
    <x v="0"/>
    <x v="0"/>
    <x v="0"/>
    <x v="2"/>
    <x v="10"/>
    <x v="8"/>
    <x v="0"/>
    <x v="0"/>
    <x v="1"/>
    <x v="0"/>
    <x v="0"/>
    <x v="0"/>
    <x v="156"/>
    <x v="160"/>
    <x v="1"/>
    <x v="2"/>
    <x v="1"/>
    <x v="2"/>
    <x v="2"/>
    <x v="2"/>
    <x v="2"/>
    <x v="107"/>
    <x v="0"/>
  </r>
  <r>
    <x v="0"/>
    <x v="0"/>
    <x v="0"/>
    <x v="1"/>
    <x v="0"/>
    <x v="0"/>
    <x v="0"/>
    <x v="2"/>
    <x v="10"/>
    <x v="9"/>
    <x v="0"/>
    <x v="0"/>
    <x v="1"/>
    <x v="0"/>
    <x v="0"/>
    <x v="0"/>
    <x v="191"/>
    <x v="198"/>
    <x v="1"/>
    <x v="2"/>
    <x v="1"/>
    <x v="2"/>
    <x v="1"/>
    <x v="2"/>
    <x v="1"/>
    <x v="189"/>
    <x v="0"/>
  </r>
  <r>
    <x v="0"/>
    <x v="0"/>
    <x v="0"/>
    <x v="1"/>
    <x v="0"/>
    <x v="0"/>
    <x v="0"/>
    <x v="2"/>
    <x v="13"/>
    <x v="27"/>
    <x v="0"/>
    <x v="0"/>
    <x v="1"/>
    <x v="0"/>
    <x v="0"/>
    <x v="0"/>
    <x v="141"/>
    <x v="144"/>
    <x v="1"/>
    <x v="1"/>
    <x v="1"/>
    <x v="1"/>
    <x v="9"/>
    <x v="2"/>
    <x v="9"/>
    <x v="104"/>
    <x v="0"/>
  </r>
  <r>
    <x v="0"/>
    <x v="0"/>
    <x v="0"/>
    <x v="1"/>
    <x v="0"/>
    <x v="0"/>
    <x v="0"/>
    <x v="2"/>
    <x v="1"/>
    <x v="28"/>
    <x v="0"/>
    <x v="0"/>
    <x v="1"/>
    <x v="0"/>
    <x v="0"/>
    <x v="3"/>
    <x v="56"/>
    <x v="57"/>
    <x v="1"/>
    <x v="9"/>
    <x v="1"/>
    <x v="9"/>
    <x v="0"/>
    <x v="0"/>
    <x v="0"/>
    <x v="41"/>
    <x v="0"/>
  </r>
  <r>
    <x v="0"/>
    <x v="0"/>
    <x v="0"/>
    <x v="1"/>
    <x v="0"/>
    <x v="0"/>
    <x v="0"/>
    <x v="2"/>
    <x v="9"/>
    <x v="11"/>
    <x v="0"/>
    <x v="0"/>
    <x v="1"/>
    <x v="0"/>
    <x v="0"/>
    <x v="4"/>
    <x v="10"/>
    <x v="10"/>
    <x v="1"/>
    <x v="13"/>
    <x v="1"/>
    <x v="13"/>
    <x v="17"/>
    <x v="2"/>
    <x v="17"/>
    <x v="98"/>
    <x v="0"/>
  </r>
  <r>
    <x v="0"/>
    <x v="0"/>
    <x v="0"/>
    <x v="1"/>
    <x v="0"/>
    <x v="0"/>
    <x v="0"/>
    <x v="2"/>
    <x v="14"/>
    <x v="17"/>
    <x v="0"/>
    <x v="0"/>
    <x v="1"/>
    <x v="0"/>
    <x v="0"/>
    <x v="2"/>
    <x v="13"/>
    <x v="13"/>
    <x v="0"/>
    <x v="8"/>
    <x v="1"/>
    <x v="8"/>
    <x v="11"/>
    <x v="2"/>
    <x v="11"/>
    <x v="8"/>
    <x v="0"/>
  </r>
  <r>
    <x v="0"/>
    <x v="0"/>
    <x v="0"/>
    <x v="1"/>
    <x v="0"/>
    <x v="0"/>
    <x v="0"/>
    <x v="2"/>
    <x v="15"/>
    <x v="12"/>
    <x v="0"/>
    <x v="0"/>
    <x v="1"/>
    <x v="0"/>
    <x v="0"/>
    <x v="3"/>
    <x v="5"/>
    <x v="5"/>
    <x v="1"/>
    <x v="9"/>
    <x v="1"/>
    <x v="9"/>
    <x v="14"/>
    <x v="2"/>
    <x v="14"/>
    <x v="5"/>
    <x v="0"/>
  </r>
  <r>
    <x v="0"/>
    <x v="0"/>
    <x v="0"/>
    <x v="1"/>
    <x v="0"/>
    <x v="0"/>
    <x v="0"/>
    <x v="3"/>
    <x v="7"/>
    <x v="24"/>
    <x v="0"/>
    <x v="0"/>
    <x v="1"/>
    <x v="0"/>
    <x v="0"/>
    <x v="4"/>
    <x v="92"/>
    <x v="95"/>
    <x v="1"/>
    <x v="10"/>
    <x v="1"/>
    <x v="10"/>
    <x v="0"/>
    <x v="0"/>
    <x v="0"/>
    <x v="87"/>
    <x v="0"/>
  </r>
  <r>
    <x v="0"/>
    <x v="0"/>
    <x v="0"/>
    <x v="1"/>
    <x v="0"/>
    <x v="0"/>
    <x v="0"/>
    <x v="3"/>
    <x v="7"/>
    <x v="23"/>
    <x v="0"/>
    <x v="0"/>
    <x v="1"/>
    <x v="0"/>
    <x v="0"/>
    <x v="4"/>
    <x v="92"/>
    <x v="95"/>
    <x v="1"/>
    <x v="11"/>
    <x v="1"/>
    <x v="11"/>
    <x v="0"/>
    <x v="0"/>
    <x v="0"/>
    <x v="100"/>
    <x v="0"/>
  </r>
  <r>
    <x v="0"/>
    <x v="0"/>
    <x v="0"/>
    <x v="1"/>
    <x v="0"/>
    <x v="0"/>
    <x v="0"/>
    <x v="3"/>
    <x v="7"/>
    <x v="20"/>
    <x v="0"/>
    <x v="0"/>
    <x v="1"/>
    <x v="0"/>
    <x v="0"/>
    <x v="4"/>
    <x v="84"/>
    <x v="86"/>
    <x v="1"/>
    <x v="11"/>
    <x v="1"/>
    <x v="11"/>
    <x v="0"/>
    <x v="0"/>
    <x v="0"/>
    <x v="89"/>
    <x v="0"/>
  </r>
  <r>
    <x v="0"/>
    <x v="0"/>
    <x v="0"/>
    <x v="1"/>
    <x v="0"/>
    <x v="0"/>
    <x v="0"/>
    <x v="3"/>
    <x v="5"/>
    <x v="13"/>
    <x v="0"/>
    <x v="0"/>
    <x v="1"/>
    <x v="0"/>
    <x v="0"/>
    <x v="4"/>
    <x v="41"/>
    <x v="42"/>
    <x v="1"/>
    <x v="15"/>
    <x v="1"/>
    <x v="15"/>
    <x v="18"/>
    <x v="2"/>
    <x v="18"/>
    <x v="186"/>
    <x v="0"/>
  </r>
  <r>
    <x v="0"/>
    <x v="0"/>
    <x v="0"/>
    <x v="1"/>
    <x v="0"/>
    <x v="0"/>
    <x v="0"/>
    <x v="3"/>
    <x v="8"/>
    <x v="10"/>
    <x v="0"/>
    <x v="0"/>
    <x v="1"/>
    <x v="0"/>
    <x v="0"/>
    <x v="3"/>
    <x v="126"/>
    <x v="129"/>
    <x v="1"/>
    <x v="12"/>
    <x v="1"/>
    <x v="12"/>
    <x v="13"/>
    <x v="2"/>
    <x v="13"/>
    <x v="183"/>
    <x v="0"/>
  </r>
  <r>
    <x v="0"/>
    <x v="0"/>
    <x v="0"/>
    <x v="1"/>
    <x v="0"/>
    <x v="0"/>
    <x v="0"/>
    <x v="3"/>
    <x v="1"/>
    <x v="28"/>
    <x v="0"/>
    <x v="0"/>
    <x v="1"/>
    <x v="0"/>
    <x v="0"/>
    <x v="3"/>
    <x v="42"/>
    <x v="43"/>
    <x v="1"/>
    <x v="9"/>
    <x v="1"/>
    <x v="9"/>
    <x v="0"/>
    <x v="0"/>
    <x v="0"/>
    <x v="12"/>
    <x v="0"/>
  </r>
  <r>
    <x v="0"/>
    <x v="0"/>
    <x v="0"/>
    <x v="1"/>
    <x v="0"/>
    <x v="0"/>
    <x v="0"/>
    <x v="3"/>
    <x v="9"/>
    <x v="11"/>
    <x v="0"/>
    <x v="0"/>
    <x v="1"/>
    <x v="0"/>
    <x v="0"/>
    <x v="4"/>
    <x v="1"/>
    <x v="1"/>
    <x v="1"/>
    <x v="13"/>
    <x v="1"/>
    <x v="13"/>
    <x v="17"/>
    <x v="2"/>
    <x v="17"/>
    <x v="42"/>
    <x v="0"/>
  </r>
  <r>
    <x v="0"/>
    <x v="0"/>
    <x v="0"/>
    <x v="1"/>
    <x v="0"/>
    <x v="0"/>
    <x v="0"/>
    <x v="3"/>
    <x v="6"/>
    <x v="2"/>
    <x v="0"/>
    <x v="0"/>
    <x v="1"/>
    <x v="0"/>
    <x v="0"/>
    <x v="4"/>
    <x v="7"/>
    <x v="7"/>
    <x v="1"/>
    <x v="10"/>
    <x v="1"/>
    <x v="10"/>
    <x v="15"/>
    <x v="2"/>
    <x v="15"/>
    <x v="32"/>
    <x v="0"/>
  </r>
  <r>
    <x v="0"/>
    <x v="0"/>
    <x v="0"/>
    <x v="1"/>
    <x v="0"/>
    <x v="0"/>
    <x v="0"/>
    <x v="3"/>
    <x v="14"/>
    <x v="17"/>
    <x v="0"/>
    <x v="0"/>
    <x v="1"/>
    <x v="0"/>
    <x v="0"/>
    <x v="2"/>
    <x v="39"/>
    <x v="13"/>
    <x v="0"/>
    <x v="8"/>
    <x v="1"/>
    <x v="8"/>
    <x v="11"/>
    <x v="2"/>
    <x v="11"/>
    <x v="47"/>
    <x v="0"/>
  </r>
  <r>
    <x v="0"/>
    <x v="0"/>
    <x v="0"/>
    <x v="1"/>
    <x v="0"/>
    <x v="0"/>
    <x v="0"/>
    <x v="3"/>
    <x v="10"/>
    <x v="4"/>
    <x v="0"/>
    <x v="0"/>
    <x v="1"/>
    <x v="0"/>
    <x v="0"/>
    <x v="0"/>
    <x v="190"/>
    <x v="197"/>
    <x v="1"/>
    <x v="5"/>
    <x v="1"/>
    <x v="5"/>
    <x v="6"/>
    <x v="2"/>
    <x v="6"/>
    <x v="190"/>
    <x v="0"/>
  </r>
  <r>
    <x v="0"/>
    <x v="0"/>
    <x v="0"/>
    <x v="1"/>
    <x v="0"/>
    <x v="0"/>
    <x v="0"/>
    <x v="3"/>
    <x v="13"/>
    <x v="27"/>
    <x v="0"/>
    <x v="0"/>
    <x v="1"/>
    <x v="0"/>
    <x v="0"/>
    <x v="0"/>
    <x v="111"/>
    <x v="114"/>
    <x v="1"/>
    <x v="1"/>
    <x v="1"/>
    <x v="1"/>
    <x v="9"/>
    <x v="2"/>
    <x v="9"/>
    <x v="65"/>
    <x v="0"/>
  </r>
  <r>
    <x v="0"/>
    <x v="0"/>
    <x v="0"/>
    <x v="2"/>
    <x v="0"/>
    <x v="1"/>
    <x v="1"/>
    <x v="4"/>
    <x v="5"/>
    <x v="13"/>
    <x v="0"/>
    <x v="0"/>
    <x v="1"/>
    <x v="0"/>
    <x v="0"/>
    <x v="4"/>
    <x v="30"/>
    <x v="31"/>
    <x v="1"/>
    <x v="15"/>
    <x v="1"/>
    <x v="15"/>
    <x v="18"/>
    <x v="2"/>
    <x v="18"/>
    <x v="166"/>
    <x v="0"/>
  </r>
  <r>
    <x v="0"/>
    <x v="0"/>
    <x v="0"/>
    <x v="2"/>
    <x v="0"/>
    <x v="1"/>
    <x v="1"/>
    <x v="4"/>
    <x v="8"/>
    <x v="10"/>
    <x v="0"/>
    <x v="0"/>
    <x v="1"/>
    <x v="0"/>
    <x v="0"/>
    <x v="3"/>
    <x v="103"/>
    <x v="106"/>
    <x v="1"/>
    <x v="12"/>
    <x v="1"/>
    <x v="12"/>
    <x v="13"/>
    <x v="2"/>
    <x v="13"/>
    <x v="163"/>
    <x v="0"/>
  </r>
  <r>
    <x v="0"/>
    <x v="0"/>
    <x v="0"/>
    <x v="2"/>
    <x v="0"/>
    <x v="1"/>
    <x v="1"/>
    <x v="4"/>
    <x v="10"/>
    <x v="19"/>
    <x v="0"/>
    <x v="0"/>
    <x v="1"/>
    <x v="0"/>
    <x v="0"/>
    <x v="0"/>
    <x v="120"/>
    <x v="123"/>
    <x v="1"/>
    <x v="6"/>
    <x v="1"/>
    <x v="6"/>
    <x v="7"/>
    <x v="2"/>
    <x v="7"/>
    <x v="57"/>
    <x v="0"/>
  </r>
  <r>
    <x v="0"/>
    <x v="0"/>
    <x v="0"/>
    <x v="2"/>
    <x v="0"/>
    <x v="1"/>
    <x v="1"/>
    <x v="4"/>
    <x v="10"/>
    <x v="3"/>
    <x v="0"/>
    <x v="0"/>
    <x v="1"/>
    <x v="0"/>
    <x v="0"/>
    <x v="0"/>
    <x v="143"/>
    <x v="146"/>
    <x v="1"/>
    <x v="6"/>
    <x v="1"/>
    <x v="6"/>
    <x v="8"/>
    <x v="2"/>
    <x v="8"/>
    <x v="91"/>
    <x v="0"/>
  </r>
  <r>
    <x v="0"/>
    <x v="0"/>
    <x v="0"/>
    <x v="2"/>
    <x v="0"/>
    <x v="1"/>
    <x v="1"/>
    <x v="4"/>
    <x v="10"/>
    <x v="4"/>
    <x v="0"/>
    <x v="0"/>
    <x v="1"/>
    <x v="0"/>
    <x v="0"/>
    <x v="0"/>
    <x v="70"/>
    <x v="72"/>
    <x v="1"/>
    <x v="5"/>
    <x v="1"/>
    <x v="5"/>
    <x v="6"/>
    <x v="2"/>
    <x v="6"/>
    <x v="13"/>
    <x v="0"/>
  </r>
  <r>
    <x v="0"/>
    <x v="0"/>
    <x v="0"/>
    <x v="2"/>
    <x v="0"/>
    <x v="1"/>
    <x v="1"/>
    <x v="4"/>
    <x v="10"/>
    <x v="6"/>
    <x v="0"/>
    <x v="0"/>
    <x v="1"/>
    <x v="0"/>
    <x v="0"/>
    <x v="0"/>
    <x v="140"/>
    <x v="143"/>
    <x v="1"/>
    <x v="4"/>
    <x v="1"/>
    <x v="4"/>
    <x v="4"/>
    <x v="2"/>
    <x v="4"/>
    <x v="86"/>
    <x v="0"/>
  </r>
  <r>
    <x v="0"/>
    <x v="0"/>
    <x v="0"/>
    <x v="2"/>
    <x v="0"/>
    <x v="1"/>
    <x v="1"/>
    <x v="4"/>
    <x v="10"/>
    <x v="7"/>
    <x v="0"/>
    <x v="0"/>
    <x v="1"/>
    <x v="0"/>
    <x v="0"/>
    <x v="0"/>
    <x v="183"/>
    <x v="189"/>
    <x v="1"/>
    <x v="3"/>
    <x v="1"/>
    <x v="3"/>
    <x v="3"/>
    <x v="2"/>
    <x v="3"/>
    <x v="172"/>
    <x v="0"/>
  </r>
  <r>
    <x v="0"/>
    <x v="0"/>
    <x v="0"/>
    <x v="2"/>
    <x v="0"/>
    <x v="1"/>
    <x v="1"/>
    <x v="4"/>
    <x v="13"/>
    <x v="27"/>
    <x v="0"/>
    <x v="0"/>
    <x v="1"/>
    <x v="0"/>
    <x v="0"/>
    <x v="0"/>
    <x v="101"/>
    <x v="104"/>
    <x v="1"/>
    <x v="1"/>
    <x v="1"/>
    <x v="1"/>
    <x v="9"/>
    <x v="2"/>
    <x v="9"/>
    <x v="55"/>
    <x v="0"/>
  </r>
  <r>
    <x v="0"/>
    <x v="0"/>
    <x v="0"/>
    <x v="2"/>
    <x v="0"/>
    <x v="1"/>
    <x v="1"/>
    <x v="4"/>
    <x v="9"/>
    <x v="11"/>
    <x v="0"/>
    <x v="0"/>
    <x v="1"/>
    <x v="0"/>
    <x v="0"/>
    <x v="4"/>
    <x v="6"/>
    <x v="6"/>
    <x v="1"/>
    <x v="13"/>
    <x v="1"/>
    <x v="13"/>
    <x v="17"/>
    <x v="2"/>
    <x v="17"/>
    <x v="73"/>
    <x v="0"/>
  </r>
  <r>
    <x v="0"/>
    <x v="0"/>
    <x v="0"/>
    <x v="2"/>
    <x v="0"/>
    <x v="1"/>
    <x v="1"/>
    <x v="4"/>
    <x v="6"/>
    <x v="1"/>
    <x v="0"/>
    <x v="0"/>
    <x v="1"/>
    <x v="0"/>
    <x v="0"/>
    <x v="4"/>
    <x v="9"/>
    <x v="9"/>
    <x v="1"/>
    <x v="10"/>
    <x v="1"/>
    <x v="10"/>
    <x v="15"/>
    <x v="2"/>
    <x v="15"/>
    <x v="45"/>
    <x v="0"/>
  </r>
  <r>
    <x v="0"/>
    <x v="0"/>
    <x v="0"/>
    <x v="2"/>
    <x v="0"/>
    <x v="1"/>
    <x v="1"/>
    <x v="4"/>
    <x v="0"/>
    <x v="0"/>
    <x v="0"/>
    <x v="0"/>
    <x v="1"/>
    <x v="0"/>
    <x v="0"/>
    <x v="3"/>
    <x v="61"/>
    <x v="62"/>
    <x v="1"/>
    <x v="7"/>
    <x v="1"/>
    <x v="7"/>
    <x v="10"/>
    <x v="2"/>
    <x v="10"/>
    <x v="63"/>
    <x v="0"/>
  </r>
  <r>
    <x v="0"/>
    <x v="0"/>
    <x v="0"/>
    <x v="2"/>
    <x v="0"/>
    <x v="1"/>
    <x v="1"/>
    <x v="6"/>
    <x v="5"/>
    <x v="13"/>
    <x v="0"/>
    <x v="0"/>
    <x v="1"/>
    <x v="0"/>
    <x v="0"/>
    <x v="4"/>
    <x v="47"/>
    <x v="48"/>
    <x v="1"/>
    <x v="15"/>
    <x v="1"/>
    <x v="15"/>
    <x v="18"/>
    <x v="2"/>
    <x v="18"/>
    <x v="194"/>
    <x v="0"/>
  </r>
  <r>
    <x v="0"/>
    <x v="0"/>
    <x v="0"/>
    <x v="2"/>
    <x v="0"/>
    <x v="1"/>
    <x v="1"/>
    <x v="6"/>
    <x v="8"/>
    <x v="10"/>
    <x v="0"/>
    <x v="0"/>
    <x v="1"/>
    <x v="0"/>
    <x v="0"/>
    <x v="3"/>
    <x v="14"/>
    <x v="14"/>
    <x v="1"/>
    <x v="12"/>
    <x v="1"/>
    <x v="12"/>
    <x v="13"/>
    <x v="2"/>
    <x v="13"/>
    <x v="30"/>
    <x v="0"/>
  </r>
  <r>
    <x v="0"/>
    <x v="0"/>
    <x v="0"/>
    <x v="2"/>
    <x v="0"/>
    <x v="1"/>
    <x v="1"/>
    <x v="6"/>
    <x v="10"/>
    <x v="3"/>
    <x v="0"/>
    <x v="0"/>
    <x v="1"/>
    <x v="0"/>
    <x v="0"/>
    <x v="0"/>
    <x v="194"/>
    <x v="201"/>
    <x v="1"/>
    <x v="6"/>
    <x v="1"/>
    <x v="6"/>
    <x v="8"/>
    <x v="2"/>
    <x v="8"/>
    <x v="195"/>
    <x v="0"/>
  </r>
  <r>
    <x v="0"/>
    <x v="0"/>
    <x v="0"/>
    <x v="2"/>
    <x v="0"/>
    <x v="1"/>
    <x v="1"/>
    <x v="6"/>
    <x v="10"/>
    <x v="4"/>
    <x v="0"/>
    <x v="0"/>
    <x v="1"/>
    <x v="0"/>
    <x v="0"/>
    <x v="0"/>
    <x v="107"/>
    <x v="110"/>
    <x v="1"/>
    <x v="5"/>
    <x v="1"/>
    <x v="5"/>
    <x v="6"/>
    <x v="2"/>
    <x v="6"/>
    <x v="46"/>
    <x v="0"/>
  </r>
  <r>
    <x v="0"/>
    <x v="0"/>
    <x v="0"/>
    <x v="2"/>
    <x v="0"/>
    <x v="1"/>
    <x v="1"/>
    <x v="6"/>
    <x v="13"/>
    <x v="27"/>
    <x v="0"/>
    <x v="0"/>
    <x v="1"/>
    <x v="0"/>
    <x v="0"/>
    <x v="0"/>
    <x v="122"/>
    <x v="125"/>
    <x v="1"/>
    <x v="1"/>
    <x v="1"/>
    <x v="1"/>
    <x v="9"/>
    <x v="2"/>
    <x v="9"/>
    <x v="76"/>
    <x v="0"/>
  </r>
  <r>
    <x v="0"/>
    <x v="0"/>
    <x v="0"/>
    <x v="2"/>
    <x v="0"/>
    <x v="1"/>
    <x v="1"/>
    <x v="6"/>
    <x v="9"/>
    <x v="11"/>
    <x v="0"/>
    <x v="0"/>
    <x v="1"/>
    <x v="0"/>
    <x v="0"/>
    <x v="4"/>
    <x v="23"/>
    <x v="23"/>
    <x v="1"/>
    <x v="13"/>
    <x v="1"/>
    <x v="13"/>
    <x v="17"/>
    <x v="2"/>
    <x v="17"/>
    <x v="135"/>
    <x v="0"/>
  </r>
  <r>
    <x v="0"/>
    <x v="0"/>
    <x v="0"/>
    <x v="2"/>
    <x v="0"/>
    <x v="1"/>
    <x v="1"/>
    <x v="6"/>
    <x v="6"/>
    <x v="1"/>
    <x v="0"/>
    <x v="0"/>
    <x v="1"/>
    <x v="0"/>
    <x v="0"/>
    <x v="4"/>
    <x v="37"/>
    <x v="39"/>
    <x v="1"/>
    <x v="10"/>
    <x v="1"/>
    <x v="10"/>
    <x v="15"/>
    <x v="2"/>
    <x v="15"/>
    <x v="97"/>
    <x v="0"/>
  </r>
  <r>
    <x v="0"/>
    <x v="0"/>
    <x v="0"/>
    <x v="2"/>
    <x v="0"/>
    <x v="1"/>
    <x v="1"/>
    <x v="6"/>
    <x v="0"/>
    <x v="0"/>
    <x v="0"/>
    <x v="0"/>
    <x v="1"/>
    <x v="0"/>
    <x v="0"/>
    <x v="3"/>
    <x v="125"/>
    <x v="128"/>
    <x v="1"/>
    <x v="7"/>
    <x v="1"/>
    <x v="7"/>
    <x v="10"/>
    <x v="2"/>
    <x v="10"/>
    <x v="128"/>
    <x v="0"/>
  </r>
  <r>
    <x v="0"/>
    <x v="0"/>
    <x v="0"/>
    <x v="2"/>
    <x v="0"/>
    <x v="1"/>
    <x v="1"/>
    <x v="5"/>
    <x v="5"/>
    <x v="13"/>
    <x v="0"/>
    <x v="0"/>
    <x v="1"/>
    <x v="0"/>
    <x v="0"/>
    <x v="4"/>
    <x v="34"/>
    <x v="36"/>
    <x v="1"/>
    <x v="15"/>
    <x v="1"/>
    <x v="15"/>
    <x v="18"/>
    <x v="2"/>
    <x v="18"/>
    <x v="176"/>
    <x v="0"/>
  </r>
  <r>
    <x v="0"/>
    <x v="0"/>
    <x v="0"/>
    <x v="2"/>
    <x v="0"/>
    <x v="1"/>
    <x v="1"/>
    <x v="5"/>
    <x v="8"/>
    <x v="10"/>
    <x v="0"/>
    <x v="0"/>
    <x v="1"/>
    <x v="0"/>
    <x v="0"/>
    <x v="3"/>
    <x v="83"/>
    <x v="85"/>
    <x v="1"/>
    <x v="12"/>
    <x v="1"/>
    <x v="12"/>
    <x v="13"/>
    <x v="2"/>
    <x v="13"/>
    <x v="145"/>
    <x v="0"/>
  </r>
  <r>
    <x v="0"/>
    <x v="0"/>
    <x v="0"/>
    <x v="2"/>
    <x v="0"/>
    <x v="1"/>
    <x v="1"/>
    <x v="5"/>
    <x v="10"/>
    <x v="4"/>
    <x v="0"/>
    <x v="0"/>
    <x v="1"/>
    <x v="0"/>
    <x v="0"/>
    <x v="0"/>
    <x v="178"/>
    <x v="183"/>
    <x v="1"/>
    <x v="5"/>
    <x v="1"/>
    <x v="5"/>
    <x v="6"/>
    <x v="2"/>
    <x v="6"/>
    <x v="150"/>
    <x v="0"/>
  </r>
  <r>
    <x v="0"/>
    <x v="0"/>
    <x v="0"/>
    <x v="2"/>
    <x v="0"/>
    <x v="1"/>
    <x v="1"/>
    <x v="5"/>
    <x v="10"/>
    <x v="8"/>
    <x v="0"/>
    <x v="0"/>
    <x v="1"/>
    <x v="0"/>
    <x v="0"/>
    <x v="0"/>
    <x v="161"/>
    <x v="165"/>
    <x v="1"/>
    <x v="2"/>
    <x v="1"/>
    <x v="2"/>
    <x v="2"/>
    <x v="2"/>
    <x v="2"/>
    <x v="114"/>
    <x v="0"/>
  </r>
  <r>
    <x v="0"/>
    <x v="0"/>
    <x v="0"/>
    <x v="2"/>
    <x v="0"/>
    <x v="1"/>
    <x v="1"/>
    <x v="5"/>
    <x v="10"/>
    <x v="9"/>
    <x v="0"/>
    <x v="0"/>
    <x v="1"/>
    <x v="0"/>
    <x v="0"/>
    <x v="0"/>
    <x v="189"/>
    <x v="196"/>
    <x v="1"/>
    <x v="2"/>
    <x v="1"/>
    <x v="2"/>
    <x v="1"/>
    <x v="2"/>
    <x v="1"/>
    <x v="188"/>
    <x v="0"/>
  </r>
  <r>
    <x v="0"/>
    <x v="0"/>
    <x v="0"/>
    <x v="2"/>
    <x v="0"/>
    <x v="1"/>
    <x v="1"/>
    <x v="5"/>
    <x v="13"/>
    <x v="27"/>
    <x v="0"/>
    <x v="0"/>
    <x v="1"/>
    <x v="0"/>
    <x v="0"/>
    <x v="0"/>
    <x v="130"/>
    <x v="133"/>
    <x v="1"/>
    <x v="1"/>
    <x v="1"/>
    <x v="1"/>
    <x v="9"/>
    <x v="2"/>
    <x v="9"/>
    <x v="81"/>
    <x v="0"/>
  </r>
  <r>
    <x v="0"/>
    <x v="0"/>
    <x v="0"/>
    <x v="2"/>
    <x v="0"/>
    <x v="1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1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1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1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1"/>
    <x v="1"/>
    <x v="8"/>
    <x v="10"/>
    <x v="6"/>
    <x v="0"/>
    <x v="0"/>
    <x v="1"/>
    <x v="0"/>
    <x v="0"/>
    <x v="0"/>
    <x v="155"/>
    <x v="159"/>
    <x v="1"/>
    <x v="4"/>
    <x v="1"/>
    <x v="4"/>
    <x v="4"/>
    <x v="2"/>
    <x v="4"/>
    <x v="110"/>
    <x v="0"/>
  </r>
  <r>
    <x v="0"/>
    <x v="0"/>
    <x v="0"/>
    <x v="2"/>
    <x v="0"/>
    <x v="1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1"/>
    <x v="1"/>
    <x v="8"/>
    <x v="13"/>
    <x v="27"/>
    <x v="0"/>
    <x v="0"/>
    <x v="1"/>
    <x v="0"/>
    <x v="0"/>
    <x v="0"/>
    <x v="64"/>
    <x v="65"/>
    <x v="1"/>
    <x v="1"/>
    <x v="1"/>
    <x v="1"/>
    <x v="9"/>
    <x v="2"/>
    <x v="9"/>
    <x v="23"/>
    <x v="0"/>
  </r>
  <r>
    <x v="0"/>
    <x v="0"/>
    <x v="0"/>
    <x v="2"/>
    <x v="0"/>
    <x v="1"/>
    <x v="1"/>
    <x v="7"/>
    <x v="5"/>
    <x v="13"/>
    <x v="0"/>
    <x v="0"/>
    <x v="0"/>
    <x v="0"/>
    <x v="0"/>
    <x v="4"/>
    <x v="21"/>
    <x v="21"/>
    <x v="1"/>
    <x v="15"/>
    <x v="1"/>
    <x v="15"/>
    <x v="18"/>
    <x v="2"/>
    <x v="18"/>
    <x v="151"/>
    <x v="0"/>
  </r>
  <r>
    <x v="0"/>
    <x v="0"/>
    <x v="0"/>
    <x v="2"/>
    <x v="0"/>
    <x v="1"/>
    <x v="1"/>
    <x v="7"/>
    <x v="8"/>
    <x v="10"/>
    <x v="0"/>
    <x v="0"/>
    <x v="1"/>
    <x v="0"/>
    <x v="0"/>
    <x v="3"/>
    <x v="109"/>
    <x v="112"/>
    <x v="1"/>
    <x v="12"/>
    <x v="1"/>
    <x v="12"/>
    <x v="13"/>
    <x v="2"/>
    <x v="13"/>
    <x v="173"/>
    <x v="0"/>
  </r>
  <r>
    <x v="0"/>
    <x v="0"/>
    <x v="0"/>
    <x v="2"/>
    <x v="0"/>
    <x v="1"/>
    <x v="1"/>
    <x v="7"/>
    <x v="10"/>
    <x v="19"/>
    <x v="0"/>
    <x v="0"/>
    <x v="1"/>
    <x v="0"/>
    <x v="0"/>
    <x v="0"/>
    <x v="82"/>
    <x v="84"/>
    <x v="1"/>
    <x v="6"/>
    <x v="1"/>
    <x v="6"/>
    <x v="7"/>
    <x v="2"/>
    <x v="7"/>
    <x v="25"/>
    <x v="0"/>
  </r>
  <r>
    <x v="0"/>
    <x v="0"/>
    <x v="0"/>
    <x v="2"/>
    <x v="0"/>
    <x v="1"/>
    <x v="1"/>
    <x v="7"/>
    <x v="10"/>
    <x v="3"/>
    <x v="0"/>
    <x v="0"/>
    <x v="1"/>
    <x v="0"/>
    <x v="0"/>
    <x v="0"/>
    <x v="78"/>
    <x v="80"/>
    <x v="1"/>
    <x v="6"/>
    <x v="1"/>
    <x v="6"/>
    <x v="8"/>
    <x v="2"/>
    <x v="8"/>
    <x v="21"/>
    <x v="0"/>
  </r>
  <r>
    <x v="0"/>
    <x v="0"/>
    <x v="0"/>
    <x v="2"/>
    <x v="0"/>
    <x v="1"/>
    <x v="1"/>
    <x v="7"/>
    <x v="10"/>
    <x v="4"/>
    <x v="0"/>
    <x v="0"/>
    <x v="1"/>
    <x v="0"/>
    <x v="0"/>
    <x v="0"/>
    <x v="176"/>
    <x v="181"/>
    <x v="1"/>
    <x v="5"/>
    <x v="1"/>
    <x v="5"/>
    <x v="6"/>
    <x v="2"/>
    <x v="6"/>
    <x v="147"/>
    <x v="0"/>
  </r>
  <r>
    <x v="0"/>
    <x v="0"/>
    <x v="0"/>
    <x v="2"/>
    <x v="0"/>
    <x v="1"/>
    <x v="1"/>
    <x v="7"/>
    <x v="10"/>
    <x v="6"/>
    <x v="0"/>
    <x v="0"/>
    <x v="1"/>
    <x v="0"/>
    <x v="0"/>
    <x v="0"/>
    <x v="123"/>
    <x v="126"/>
    <x v="1"/>
    <x v="4"/>
    <x v="1"/>
    <x v="4"/>
    <x v="4"/>
    <x v="2"/>
    <x v="4"/>
    <x v="59"/>
    <x v="0"/>
  </r>
  <r>
    <x v="0"/>
    <x v="0"/>
    <x v="0"/>
    <x v="2"/>
    <x v="0"/>
    <x v="1"/>
    <x v="1"/>
    <x v="7"/>
    <x v="10"/>
    <x v="7"/>
    <x v="0"/>
    <x v="0"/>
    <x v="1"/>
    <x v="0"/>
    <x v="0"/>
    <x v="0"/>
    <x v="88"/>
    <x v="91"/>
    <x v="1"/>
    <x v="3"/>
    <x v="1"/>
    <x v="3"/>
    <x v="3"/>
    <x v="2"/>
    <x v="3"/>
    <x v="28"/>
    <x v="0"/>
  </r>
  <r>
    <x v="0"/>
    <x v="0"/>
    <x v="0"/>
    <x v="2"/>
    <x v="0"/>
    <x v="1"/>
    <x v="1"/>
    <x v="7"/>
    <x v="13"/>
    <x v="27"/>
    <x v="0"/>
    <x v="0"/>
    <x v="1"/>
    <x v="0"/>
    <x v="0"/>
    <x v="0"/>
    <x v="65"/>
    <x v="66"/>
    <x v="1"/>
    <x v="1"/>
    <x v="1"/>
    <x v="1"/>
    <x v="9"/>
    <x v="2"/>
    <x v="9"/>
    <x v="27"/>
    <x v="0"/>
  </r>
  <r>
    <x v="0"/>
    <x v="0"/>
    <x v="0"/>
    <x v="2"/>
    <x v="0"/>
    <x v="2"/>
    <x v="1"/>
    <x v="4"/>
    <x v="5"/>
    <x v="13"/>
    <x v="0"/>
    <x v="0"/>
    <x v="1"/>
    <x v="0"/>
    <x v="0"/>
    <x v="4"/>
    <x v="26"/>
    <x v="27"/>
    <x v="1"/>
    <x v="15"/>
    <x v="1"/>
    <x v="15"/>
    <x v="18"/>
    <x v="2"/>
    <x v="18"/>
    <x v="158"/>
    <x v="0"/>
  </r>
  <r>
    <x v="0"/>
    <x v="0"/>
    <x v="0"/>
    <x v="2"/>
    <x v="0"/>
    <x v="2"/>
    <x v="1"/>
    <x v="4"/>
    <x v="8"/>
    <x v="10"/>
    <x v="0"/>
    <x v="0"/>
    <x v="1"/>
    <x v="0"/>
    <x v="0"/>
    <x v="3"/>
    <x v="100"/>
    <x v="103"/>
    <x v="1"/>
    <x v="12"/>
    <x v="1"/>
    <x v="12"/>
    <x v="13"/>
    <x v="2"/>
    <x v="13"/>
    <x v="157"/>
    <x v="0"/>
  </r>
  <r>
    <x v="0"/>
    <x v="0"/>
    <x v="0"/>
    <x v="2"/>
    <x v="0"/>
    <x v="2"/>
    <x v="1"/>
    <x v="4"/>
    <x v="10"/>
    <x v="19"/>
    <x v="0"/>
    <x v="0"/>
    <x v="1"/>
    <x v="0"/>
    <x v="0"/>
    <x v="0"/>
    <x v="117"/>
    <x v="120"/>
    <x v="1"/>
    <x v="6"/>
    <x v="1"/>
    <x v="6"/>
    <x v="7"/>
    <x v="2"/>
    <x v="7"/>
    <x v="56"/>
    <x v="0"/>
  </r>
  <r>
    <x v="0"/>
    <x v="0"/>
    <x v="0"/>
    <x v="2"/>
    <x v="0"/>
    <x v="2"/>
    <x v="1"/>
    <x v="4"/>
    <x v="10"/>
    <x v="3"/>
    <x v="0"/>
    <x v="0"/>
    <x v="1"/>
    <x v="0"/>
    <x v="0"/>
    <x v="0"/>
    <x v="164"/>
    <x v="168"/>
    <x v="1"/>
    <x v="6"/>
    <x v="1"/>
    <x v="6"/>
    <x v="8"/>
    <x v="2"/>
    <x v="8"/>
    <x v="125"/>
    <x v="0"/>
  </r>
  <r>
    <x v="0"/>
    <x v="0"/>
    <x v="0"/>
    <x v="2"/>
    <x v="0"/>
    <x v="2"/>
    <x v="1"/>
    <x v="4"/>
    <x v="10"/>
    <x v="4"/>
    <x v="0"/>
    <x v="0"/>
    <x v="1"/>
    <x v="0"/>
    <x v="0"/>
    <x v="0"/>
    <x v="91"/>
    <x v="94"/>
    <x v="1"/>
    <x v="5"/>
    <x v="1"/>
    <x v="5"/>
    <x v="6"/>
    <x v="2"/>
    <x v="6"/>
    <x v="35"/>
    <x v="0"/>
  </r>
  <r>
    <x v="0"/>
    <x v="0"/>
    <x v="0"/>
    <x v="2"/>
    <x v="0"/>
    <x v="2"/>
    <x v="1"/>
    <x v="4"/>
    <x v="10"/>
    <x v="6"/>
    <x v="0"/>
    <x v="0"/>
    <x v="1"/>
    <x v="0"/>
    <x v="0"/>
    <x v="0"/>
    <x v="154"/>
    <x v="157"/>
    <x v="1"/>
    <x v="4"/>
    <x v="1"/>
    <x v="4"/>
    <x v="4"/>
    <x v="2"/>
    <x v="4"/>
    <x v="105"/>
    <x v="0"/>
  </r>
  <r>
    <x v="0"/>
    <x v="0"/>
    <x v="0"/>
    <x v="2"/>
    <x v="0"/>
    <x v="2"/>
    <x v="1"/>
    <x v="4"/>
    <x v="10"/>
    <x v="7"/>
    <x v="0"/>
    <x v="0"/>
    <x v="1"/>
    <x v="0"/>
    <x v="0"/>
    <x v="0"/>
    <x v="163"/>
    <x v="167"/>
    <x v="1"/>
    <x v="3"/>
    <x v="1"/>
    <x v="3"/>
    <x v="3"/>
    <x v="2"/>
    <x v="3"/>
    <x v="116"/>
    <x v="0"/>
  </r>
  <r>
    <x v="0"/>
    <x v="0"/>
    <x v="0"/>
    <x v="2"/>
    <x v="0"/>
    <x v="2"/>
    <x v="1"/>
    <x v="4"/>
    <x v="10"/>
    <x v="8"/>
    <x v="0"/>
    <x v="0"/>
    <x v="1"/>
    <x v="0"/>
    <x v="0"/>
    <x v="0"/>
    <x v="182"/>
    <x v="188"/>
    <x v="1"/>
    <x v="2"/>
    <x v="1"/>
    <x v="2"/>
    <x v="2"/>
    <x v="2"/>
    <x v="2"/>
    <x v="161"/>
    <x v="0"/>
  </r>
  <r>
    <x v="0"/>
    <x v="0"/>
    <x v="0"/>
    <x v="2"/>
    <x v="0"/>
    <x v="2"/>
    <x v="1"/>
    <x v="4"/>
    <x v="13"/>
    <x v="27"/>
    <x v="0"/>
    <x v="0"/>
    <x v="1"/>
    <x v="0"/>
    <x v="0"/>
    <x v="0"/>
    <x v="113"/>
    <x v="116"/>
    <x v="1"/>
    <x v="1"/>
    <x v="1"/>
    <x v="1"/>
    <x v="9"/>
    <x v="2"/>
    <x v="9"/>
    <x v="66"/>
    <x v="0"/>
  </r>
  <r>
    <x v="0"/>
    <x v="0"/>
    <x v="0"/>
    <x v="2"/>
    <x v="0"/>
    <x v="2"/>
    <x v="1"/>
    <x v="6"/>
    <x v="5"/>
    <x v="13"/>
    <x v="0"/>
    <x v="0"/>
    <x v="1"/>
    <x v="0"/>
    <x v="0"/>
    <x v="4"/>
    <x v="38"/>
    <x v="40"/>
    <x v="1"/>
    <x v="15"/>
    <x v="1"/>
    <x v="15"/>
    <x v="18"/>
    <x v="2"/>
    <x v="18"/>
    <x v="181"/>
    <x v="0"/>
  </r>
  <r>
    <x v="0"/>
    <x v="0"/>
    <x v="0"/>
    <x v="2"/>
    <x v="0"/>
    <x v="2"/>
    <x v="1"/>
    <x v="6"/>
    <x v="8"/>
    <x v="10"/>
    <x v="0"/>
    <x v="0"/>
    <x v="1"/>
    <x v="0"/>
    <x v="0"/>
    <x v="3"/>
    <x v="105"/>
    <x v="108"/>
    <x v="1"/>
    <x v="12"/>
    <x v="1"/>
    <x v="12"/>
    <x v="13"/>
    <x v="2"/>
    <x v="13"/>
    <x v="167"/>
    <x v="0"/>
  </r>
  <r>
    <x v="0"/>
    <x v="0"/>
    <x v="0"/>
    <x v="2"/>
    <x v="0"/>
    <x v="2"/>
    <x v="1"/>
    <x v="6"/>
    <x v="10"/>
    <x v="3"/>
    <x v="0"/>
    <x v="0"/>
    <x v="1"/>
    <x v="0"/>
    <x v="0"/>
    <x v="0"/>
    <x v="186"/>
    <x v="193"/>
    <x v="1"/>
    <x v="6"/>
    <x v="1"/>
    <x v="6"/>
    <x v="8"/>
    <x v="2"/>
    <x v="8"/>
    <x v="185"/>
    <x v="0"/>
  </r>
  <r>
    <x v="0"/>
    <x v="0"/>
    <x v="0"/>
    <x v="2"/>
    <x v="0"/>
    <x v="2"/>
    <x v="1"/>
    <x v="6"/>
    <x v="10"/>
    <x v="4"/>
    <x v="0"/>
    <x v="0"/>
    <x v="1"/>
    <x v="0"/>
    <x v="0"/>
    <x v="0"/>
    <x v="107"/>
    <x v="110"/>
    <x v="1"/>
    <x v="5"/>
    <x v="1"/>
    <x v="5"/>
    <x v="6"/>
    <x v="2"/>
    <x v="6"/>
    <x v="46"/>
    <x v="0"/>
  </r>
  <r>
    <x v="0"/>
    <x v="0"/>
    <x v="0"/>
    <x v="2"/>
    <x v="0"/>
    <x v="2"/>
    <x v="1"/>
    <x v="6"/>
    <x v="13"/>
    <x v="27"/>
    <x v="0"/>
    <x v="0"/>
    <x v="1"/>
    <x v="0"/>
    <x v="0"/>
    <x v="0"/>
    <x v="96"/>
    <x v="99"/>
    <x v="1"/>
    <x v="1"/>
    <x v="1"/>
    <x v="1"/>
    <x v="9"/>
    <x v="2"/>
    <x v="9"/>
    <x v="51"/>
    <x v="0"/>
  </r>
  <r>
    <x v="0"/>
    <x v="0"/>
    <x v="0"/>
    <x v="2"/>
    <x v="0"/>
    <x v="2"/>
    <x v="1"/>
    <x v="5"/>
    <x v="5"/>
    <x v="13"/>
    <x v="0"/>
    <x v="0"/>
    <x v="1"/>
    <x v="0"/>
    <x v="0"/>
    <x v="4"/>
    <x v="32"/>
    <x v="33"/>
    <x v="1"/>
    <x v="15"/>
    <x v="1"/>
    <x v="15"/>
    <x v="18"/>
    <x v="2"/>
    <x v="18"/>
    <x v="169"/>
    <x v="0"/>
  </r>
  <r>
    <x v="0"/>
    <x v="0"/>
    <x v="0"/>
    <x v="2"/>
    <x v="0"/>
    <x v="2"/>
    <x v="1"/>
    <x v="5"/>
    <x v="8"/>
    <x v="10"/>
    <x v="0"/>
    <x v="0"/>
    <x v="1"/>
    <x v="0"/>
    <x v="0"/>
    <x v="3"/>
    <x v="73"/>
    <x v="75"/>
    <x v="1"/>
    <x v="12"/>
    <x v="1"/>
    <x v="12"/>
    <x v="13"/>
    <x v="2"/>
    <x v="13"/>
    <x v="131"/>
    <x v="0"/>
  </r>
  <r>
    <x v="0"/>
    <x v="0"/>
    <x v="0"/>
    <x v="2"/>
    <x v="0"/>
    <x v="2"/>
    <x v="1"/>
    <x v="5"/>
    <x v="10"/>
    <x v="4"/>
    <x v="0"/>
    <x v="0"/>
    <x v="1"/>
    <x v="0"/>
    <x v="0"/>
    <x v="0"/>
    <x v="171"/>
    <x v="176"/>
    <x v="1"/>
    <x v="5"/>
    <x v="1"/>
    <x v="5"/>
    <x v="6"/>
    <x v="2"/>
    <x v="6"/>
    <x v="137"/>
    <x v="0"/>
  </r>
  <r>
    <x v="0"/>
    <x v="0"/>
    <x v="0"/>
    <x v="2"/>
    <x v="0"/>
    <x v="2"/>
    <x v="1"/>
    <x v="5"/>
    <x v="10"/>
    <x v="8"/>
    <x v="0"/>
    <x v="0"/>
    <x v="1"/>
    <x v="0"/>
    <x v="0"/>
    <x v="0"/>
    <x v="157"/>
    <x v="161"/>
    <x v="1"/>
    <x v="2"/>
    <x v="1"/>
    <x v="2"/>
    <x v="2"/>
    <x v="2"/>
    <x v="2"/>
    <x v="108"/>
    <x v="0"/>
  </r>
  <r>
    <x v="0"/>
    <x v="0"/>
    <x v="0"/>
    <x v="2"/>
    <x v="0"/>
    <x v="2"/>
    <x v="1"/>
    <x v="5"/>
    <x v="10"/>
    <x v="9"/>
    <x v="0"/>
    <x v="0"/>
    <x v="1"/>
    <x v="0"/>
    <x v="0"/>
    <x v="0"/>
    <x v="188"/>
    <x v="195"/>
    <x v="1"/>
    <x v="2"/>
    <x v="1"/>
    <x v="2"/>
    <x v="1"/>
    <x v="2"/>
    <x v="1"/>
    <x v="187"/>
    <x v="0"/>
  </r>
  <r>
    <x v="0"/>
    <x v="0"/>
    <x v="0"/>
    <x v="2"/>
    <x v="0"/>
    <x v="2"/>
    <x v="1"/>
    <x v="5"/>
    <x v="13"/>
    <x v="27"/>
    <x v="0"/>
    <x v="0"/>
    <x v="1"/>
    <x v="0"/>
    <x v="0"/>
    <x v="0"/>
    <x v="124"/>
    <x v="127"/>
    <x v="1"/>
    <x v="1"/>
    <x v="1"/>
    <x v="1"/>
    <x v="9"/>
    <x v="2"/>
    <x v="9"/>
    <x v="78"/>
    <x v="0"/>
  </r>
  <r>
    <x v="0"/>
    <x v="0"/>
    <x v="0"/>
    <x v="2"/>
    <x v="0"/>
    <x v="2"/>
    <x v="1"/>
    <x v="8"/>
    <x v="5"/>
    <x v="13"/>
    <x v="0"/>
    <x v="0"/>
    <x v="1"/>
    <x v="0"/>
    <x v="0"/>
    <x v="4"/>
    <x v="16"/>
    <x v="16"/>
    <x v="1"/>
    <x v="15"/>
    <x v="1"/>
    <x v="15"/>
    <x v="18"/>
    <x v="2"/>
    <x v="18"/>
    <x v="133"/>
    <x v="0"/>
  </r>
  <r>
    <x v="0"/>
    <x v="0"/>
    <x v="0"/>
    <x v="2"/>
    <x v="0"/>
    <x v="2"/>
    <x v="1"/>
    <x v="8"/>
    <x v="8"/>
    <x v="10"/>
    <x v="0"/>
    <x v="0"/>
    <x v="1"/>
    <x v="0"/>
    <x v="0"/>
    <x v="3"/>
    <x v="51"/>
    <x v="52"/>
    <x v="1"/>
    <x v="12"/>
    <x v="1"/>
    <x v="12"/>
    <x v="13"/>
    <x v="2"/>
    <x v="13"/>
    <x v="109"/>
    <x v="0"/>
  </r>
  <r>
    <x v="0"/>
    <x v="0"/>
    <x v="0"/>
    <x v="2"/>
    <x v="0"/>
    <x v="2"/>
    <x v="1"/>
    <x v="8"/>
    <x v="10"/>
    <x v="3"/>
    <x v="0"/>
    <x v="0"/>
    <x v="1"/>
    <x v="0"/>
    <x v="0"/>
    <x v="0"/>
    <x v="79"/>
    <x v="81"/>
    <x v="1"/>
    <x v="6"/>
    <x v="1"/>
    <x v="6"/>
    <x v="8"/>
    <x v="2"/>
    <x v="8"/>
    <x v="22"/>
    <x v="0"/>
  </r>
  <r>
    <x v="0"/>
    <x v="0"/>
    <x v="0"/>
    <x v="2"/>
    <x v="0"/>
    <x v="2"/>
    <x v="1"/>
    <x v="8"/>
    <x v="10"/>
    <x v="4"/>
    <x v="0"/>
    <x v="0"/>
    <x v="1"/>
    <x v="0"/>
    <x v="0"/>
    <x v="0"/>
    <x v="138"/>
    <x v="141"/>
    <x v="1"/>
    <x v="5"/>
    <x v="1"/>
    <x v="5"/>
    <x v="6"/>
    <x v="2"/>
    <x v="6"/>
    <x v="84"/>
    <x v="0"/>
  </r>
  <r>
    <x v="0"/>
    <x v="0"/>
    <x v="0"/>
    <x v="2"/>
    <x v="0"/>
    <x v="2"/>
    <x v="1"/>
    <x v="8"/>
    <x v="10"/>
    <x v="6"/>
    <x v="0"/>
    <x v="0"/>
    <x v="1"/>
    <x v="0"/>
    <x v="0"/>
    <x v="0"/>
    <x v="152"/>
    <x v="155"/>
    <x v="1"/>
    <x v="4"/>
    <x v="1"/>
    <x v="4"/>
    <x v="4"/>
    <x v="2"/>
    <x v="4"/>
    <x v="101"/>
    <x v="0"/>
  </r>
  <r>
    <x v="0"/>
    <x v="0"/>
    <x v="0"/>
    <x v="2"/>
    <x v="0"/>
    <x v="2"/>
    <x v="1"/>
    <x v="8"/>
    <x v="10"/>
    <x v="7"/>
    <x v="0"/>
    <x v="0"/>
    <x v="1"/>
    <x v="0"/>
    <x v="0"/>
    <x v="0"/>
    <x v="135"/>
    <x v="138"/>
    <x v="1"/>
    <x v="3"/>
    <x v="1"/>
    <x v="3"/>
    <x v="3"/>
    <x v="2"/>
    <x v="3"/>
    <x v="72"/>
    <x v="0"/>
  </r>
  <r>
    <x v="0"/>
    <x v="0"/>
    <x v="0"/>
    <x v="2"/>
    <x v="0"/>
    <x v="2"/>
    <x v="1"/>
    <x v="8"/>
    <x v="13"/>
    <x v="27"/>
    <x v="0"/>
    <x v="0"/>
    <x v="1"/>
    <x v="0"/>
    <x v="0"/>
    <x v="0"/>
    <x v="57"/>
    <x v="58"/>
    <x v="1"/>
    <x v="1"/>
    <x v="1"/>
    <x v="1"/>
    <x v="9"/>
    <x v="2"/>
    <x v="9"/>
    <x v="18"/>
    <x v="0"/>
  </r>
  <r>
    <x v="0"/>
    <x v="0"/>
    <x v="0"/>
    <x v="2"/>
    <x v="0"/>
    <x v="2"/>
    <x v="1"/>
    <x v="7"/>
    <x v="5"/>
    <x v="13"/>
    <x v="0"/>
    <x v="0"/>
    <x v="1"/>
    <x v="0"/>
    <x v="0"/>
    <x v="4"/>
    <x v="17"/>
    <x v="17"/>
    <x v="1"/>
    <x v="15"/>
    <x v="1"/>
    <x v="15"/>
    <x v="18"/>
    <x v="2"/>
    <x v="18"/>
    <x v="142"/>
    <x v="0"/>
  </r>
  <r>
    <x v="0"/>
    <x v="0"/>
    <x v="0"/>
    <x v="2"/>
    <x v="0"/>
    <x v="2"/>
    <x v="1"/>
    <x v="7"/>
    <x v="8"/>
    <x v="10"/>
    <x v="0"/>
    <x v="0"/>
    <x v="1"/>
    <x v="0"/>
    <x v="0"/>
    <x v="3"/>
    <x v="102"/>
    <x v="105"/>
    <x v="1"/>
    <x v="12"/>
    <x v="1"/>
    <x v="12"/>
    <x v="13"/>
    <x v="2"/>
    <x v="13"/>
    <x v="160"/>
    <x v="0"/>
  </r>
  <r>
    <x v="0"/>
    <x v="0"/>
    <x v="0"/>
    <x v="2"/>
    <x v="0"/>
    <x v="2"/>
    <x v="1"/>
    <x v="7"/>
    <x v="10"/>
    <x v="19"/>
    <x v="0"/>
    <x v="0"/>
    <x v="1"/>
    <x v="0"/>
    <x v="0"/>
    <x v="0"/>
    <x v="72"/>
    <x v="74"/>
    <x v="1"/>
    <x v="6"/>
    <x v="1"/>
    <x v="6"/>
    <x v="7"/>
    <x v="2"/>
    <x v="7"/>
    <x v="17"/>
    <x v="0"/>
  </r>
  <r>
    <x v="0"/>
    <x v="0"/>
    <x v="0"/>
    <x v="2"/>
    <x v="0"/>
    <x v="2"/>
    <x v="1"/>
    <x v="7"/>
    <x v="10"/>
    <x v="3"/>
    <x v="0"/>
    <x v="0"/>
    <x v="1"/>
    <x v="0"/>
    <x v="0"/>
    <x v="0"/>
    <x v="69"/>
    <x v="71"/>
    <x v="1"/>
    <x v="6"/>
    <x v="1"/>
    <x v="6"/>
    <x v="8"/>
    <x v="2"/>
    <x v="8"/>
    <x v="14"/>
    <x v="0"/>
  </r>
  <r>
    <x v="0"/>
    <x v="0"/>
    <x v="0"/>
    <x v="2"/>
    <x v="0"/>
    <x v="2"/>
    <x v="1"/>
    <x v="7"/>
    <x v="10"/>
    <x v="4"/>
    <x v="0"/>
    <x v="0"/>
    <x v="1"/>
    <x v="0"/>
    <x v="0"/>
    <x v="0"/>
    <x v="169"/>
    <x v="174"/>
    <x v="1"/>
    <x v="5"/>
    <x v="1"/>
    <x v="5"/>
    <x v="6"/>
    <x v="2"/>
    <x v="6"/>
    <x v="130"/>
    <x v="0"/>
  </r>
  <r>
    <x v="0"/>
    <x v="0"/>
    <x v="0"/>
    <x v="2"/>
    <x v="0"/>
    <x v="2"/>
    <x v="1"/>
    <x v="7"/>
    <x v="10"/>
    <x v="6"/>
    <x v="0"/>
    <x v="0"/>
    <x v="1"/>
    <x v="0"/>
    <x v="0"/>
    <x v="0"/>
    <x v="116"/>
    <x v="119"/>
    <x v="1"/>
    <x v="4"/>
    <x v="1"/>
    <x v="4"/>
    <x v="4"/>
    <x v="2"/>
    <x v="4"/>
    <x v="50"/>
    <x v="0"/>
  </r>
  <r>
    <x v="0"/>
    <x v="0"/>
    <x v="0"/>
    <x v="2"/>
    <x v="0"/>
    <x v="2"/>
    <x v="1"/>
    <x v="7"/>
    <x v="10"/>
    <x v="7"/>
    <x v="0"/>
    <x v="0"/>
    <x v="1"/>
    <x v="0"/>
    <x v="0"/>
    <x v="0"/>
    <x v="80"/>
    <x v="82"/>
    <x v="1"/>
    <x v="3"/>
    <x v="1"/>
    <x v="3"/>
    <x v="3"/>
    <x v="2"/>
    <x v="3"/>
    <x v="20"/>
    <x v="0"/>
  </r>
  <r>
    <x v="0"/>
    <x v="0"/>
    <x v="0"/>
    <x v="2"/>
    <x v="0"/>
    <x v="2"/>
    <x v="1"/>
    <x v="7"/>
    <x v="13"/>
    <x v="27"/>
    <x v="0"/>
    <x v="0"/>
    <x v="1"/>
    <x v="0"/>
    <x v="0"/>
    <x v="0"/>
    <x v="59"/>
    <x v="60"/>
    <x v="1"/>
    <x v="1"/>
    <x v="1"/>
    <x v="1"/>
    <x v="9"/>
    <x v="2"/>
    <x v="9"/>
    <x v="19"/>
    <x v="0"/>
  </r>
  <r>
    <x v="0"/>
    <x v="0"/>
    <x v="0"/>
    <x v="2"/>
    <x v="0"/>
    <x v="3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3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3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3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3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3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3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3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3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3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3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3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3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3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3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3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3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3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3"/>
    <x v="1"/>
    <x v="8"/>
    <x v="10"/>
    <x v="6"/>
    <x v="0"/>
    <x v="0"/>
    <x v="1"/>
    <x v="0"/>
    <x v="0"/>
    <x v="0"/>
    <x v="155"/>
    <x v="159"/>
    <x v="1"/>
    <x v="4"/>
    <x v="1"/>
    <x v="4"/>
    <x v="4"/>
    <x v="2"/>
    <x v="4"/>
    <x v="110"/>
    <x v="0"/>
  </r>
  <r>
    <x v="0"/>
    <x v="0"/>
    <x v="0"/>
    <x v="2"/>
    <x v="0"/>
    <x v="3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3"/>
    <x v="1"/>
    <x v="8"/>
    <x v="13"/>
    <x v="27"/>
    <x v="0"/>
    <x v="0"/>
    <x v="1"/>
    <x v="0"/>
    <x v="0"/>
    <x v="0"/>
    <x v="64"/>
    <x v="65"/>
    <x v="1"/>
    <x v="1"/>
    <x v="1"/>
    <x v="1"/>
    <x v="9"/>
    <x v="2"/>
    <x v="9"/>
    <x v="23"/>
    <x v="0"/>
  </r>
  <r>
    <x v="0"/>
    <x v="0"/>
    <x v="0"/>
    <x v="2"/>
    <x v="0"/>
    <x v="3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3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3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3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3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3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3"/>
    <x v="1"/>
    <x v="5"/>
    <x v="5"/>
    <x v="13"/>
    <x v="0"/>
    <x v="0"/>
    <x v="1"/>
    <x v="0"/>
    <x v="0"/>
    <x v="4"/>
    <x v="34"/>
    <x v="36"/>
    <x v="1"/>
    <x v="15"/>
    <x v="1"/>
    <x v="15"/>
    <x v="18"/>
    <x v="2"/>
    <x v="18"/>
    <x v="176"/>
    <x v="0"/>
  </r>
  <r>
    <x v="0"/>
    <x v="0"/>
    <x v="0"/>
    <x v="2"/>
    <x v="0"/>
    <x v="3"/>
    <x v="1"/>
    <x v="5"/>
    <x v="8"/>
    <x v="10"/>
    <x v="0"/>
    <x v="0"/>
    <x v="1"/>
    <x v="0"/>
    <x v="0"/>
    <x v="3"/>
    <x v="83"/>
    <x v="85"/>
    <x v="1"/>
    <x v="12"/>
    <x v="1"/>
    <x v="12"/>
    <x v="13"/>
    <x v="2"/>
    <x v="13"/>
    <x v="145"/>
    <x v="0"/>
  </r>
  <r>
    <x v="0"/>
    <x v="0"/>
    <x v="0"/>
    <x v="2"/>
    <x v="0"/>
    <x v="3"/>
    <x v="1"/>
    <x v="5"/>
    <x v="10"/>
    <x v="4"/>
    <x v="0"/>
    <x v="0"/>
    <x v="1"/>
    <x v="0"/>
    <x v="0"/>
    <x v="0"/>
    <x v="178"/>
    <x v="183"/>
    <x v="1"/>
    <x v="5"/>
    <x v="1"/>
    <x v="5"/>
    <x v="6"/>
    <x v="2"/>
    <x v="6"/>
    <x v="150"/>
    <x v="0"/>
  </r>
  <r>
    <x v="0"/>
    <x v="0"/>
    <x v="0"/>
    <x v="2"/>
    <x v="0"/>
    <x v="3"/>
    <x v="1"/>
    <x v="5"/>
    <x v="10"/>
    <x v="8"/>
    <x v="0"/>
    <x v="0"/>
    <x v="1"/>
    <x v="0"/>
    <x v="0"/>
    <x v="0"/>
    <x v="161"/>
    <x v="165"/>
    <x v="1"/>
    <x v="2"/>
    <x v="1"/>
    <x v="2"/>
    <x v="2"/>
    <x v="2"/>
    <x v="2"/>
    <x v="114"/>
    <x v="0"/>
  </r>
  <r>
    <x v="0"/>
    <x v="0"/>
    <x v="0"/>
    <x v="2"/>
    <x v="0"/>
    <x v="3"/>
    <x v="1"/>
    <x v="5"/>
    <x v="10"/>
    <x v="9"/>
    <x v="0"/>
    <x v="0"/>
    <x v="1"/>
    <x v="0"/>
    <x v="0"/>
    <x v="0"/>
    <x v="189"/>
    <x v="196"/>
    <x v="1"/>
    <x v="2"/>
    <x v="1"/>
    <x v="2"/>
    <x v="1"/>
    <x v="2"/>
    <x v="1"/>
    <x v="188"/>
    <x v="0"/>
  </r>
  <r>
    <x v="0"/>
    <x v="0"/>
    <x v="0"/>
    <x v="2"/>
    <x v="0"/>
    <x v="3"/>
    <x v="1"/>
    <x v="5"/>
    <x v="13"/>
    <x v="27"/>
    <x v="0"/>
    <x v="0"/>
    <x v="1"/>
    <x v="0"/>
    <x v="0"/>
    <x v="0"/>
    <x v="130"/>
    <x v="133"/>
    <x v="1"/>
    <x v="1"/>
    <x v="1"/>
    <x v="1"/>
    <x v="9"/>
    <x v="2"/>
    <x v="9"/>
    <x v="81"/>
    <x v="0"/>
  </r>
  <r>
    <x v="0"/>
    <x v="0"/>
    <x v="0"/>
    <x v="2"/>
    <x v="0"/>
    <x v="4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4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4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4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4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4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4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4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4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4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4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4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4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4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4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4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4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4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4"/>
    <x v="1"/>
    <x v="8"/>
    <x v="10"/>
    <x v="6"/>
    <x v="0"/>
    <x v="0"/>
    <x v="1"/>
    <x v="0"/>
    <x v="0"/>
    <x v="0"/>
    <x v="155"/>
    <x v="159"/>
    <x v="1"/>
    <x v="4"/>
    <x v="1"/>
    <x v="4"/>
    <x v="4"/>
    <x v="2"/>
    <x v="4"/>
    <x v="110"/>
    <x v="0"/>
  </r>
  <r>
    <x v="0"/>
    <x v="0"/>
    <x v="0"/>
    <x v="2"/>
    <x v="0"/>
    <x v="4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4"/>
    <x v="1"/>
    <x v="8"/>
    <x v="13"/>
    <x v="27"/>
    <x v="0"/>
    <x v="0"/>
    <x v="1"/>
    <x v="0"/>
    <x v="0"/>
    <x v="0"/>
    <x v="64"/>
    <x v="65"/>
    <x v="1"/>
    <x v="1"/>
    <x v="1"/>
    <x v="1"/>
    <x v="9"/>
    <x v="2"/>
    <x v="9"/>
    <x v="23"/>
    <x v="0"/>
  </r>
  <r>
    <x v="0"/>
    <x v="0"/>
    <x v="0"/>
    <x v="2"/>
    <x v="0"/>
    <x v="4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4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4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4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4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4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4"/>
    <x v="1"/>
    <x v="5"/>
    <x v="5"/>
    <x v="13"/>
    <x v="0"/>
    <x v="0"/>
    <x v="1"/>
    <x v="0"/>
    <x v="0"/>
    <x v="4"/>
    <x v="34"/>
    <x v="36"/>
    <x v="1"/>
    <x v="15"/>
    <x v="1"/>
    <x v="15"/>
    <x v="18"/>
    <x v="2"/>
    <x v="18"/>
    <x v="176"/>
    <x v="0"/>
  </r>
  <r>
    <x v="0"/>
    <x v="0"/>
    <x v="0"/>
    <x v="2"/>
    <x v="0"/>
    <x v="4"/>
    <x v="1"/>
    <x v="5"/>
    <x v="8"/>
    <x v="10"/>
    <x v="0"/>
    <x v="0"/>
    <x v="1"/>
    <x v="0"/>
    <x v="0"/>
    <x v="3"/>
    <x v="83"/>
    <x v="85"/>
    <x v="1"/>
    <x v="12"/>
    <x v="1"/>
    <x v="12"/>
    <x v="13"/>
    <x v="2"/>
    <x v="13"/>
    <x v="145"/>
    <x v="0"/>
  </r>
  <r>
    <x v="0"/>
    <x v="0"/>
    <x v="0"/>
    <x v="2"/>
    <x v="0"/>
    <x v="4"/>
    <x v="1"/>
    <x v="5"/>
    <x v="10"/>
    <x v="4"/>
    <x v="0"/>
    <x v="0"/>
    <x v="1"/>
    <x v="0"/>
    <x v="0"/>
    <x v="0"/>
    <x v="178"/>
    <x v="183"/>
    <x v="1"/>
    <x v="5"/>
    <x v="1"/>
    <x v="5"/>
    <x v="6"/>
    <x v="2"/>
    <x v="6"/>
    <x v="150"/>
    <x v="0"/>
  </r>
  <r>
    <x v="0"/>
    <x v="0"/>
    <x v="0"/>
    <x v="2"/>
    <x v="0"/>
    <x v="4"/>
    <x v="1"/>
    <x v="5"/>
    <x v="10"/>
    <x v="8"/>
    <x v="0"/>
    <x v="0"/>
    <x v="1"/>
    <x v="0"/>
    <x v="0"/>
    <x v="0"/>
    <x v="161"/>
    <x v="165"/>
    <x v="1"/>
    <x v="2"/>
    <x v="1"/>
    <x v="2"/>
    <x v="2"/>
    <x v="2"/>
    <x v="2"/>
    <x v="114"/>
    <x v="0"/>
  </r>
  <r>
    <x v="0"/>
    <x v="0"/>
    <x v="0"/>
    <x v="2"/>
    <x v="0"/>
    <x v="4"/>
    <x v="1"/>
    <x v="5"/>
    <x v="10"/>
    <x v="9"/>
    <x v="0"/>
    <x v="0"/>
    <x v="1"/>
    <x v="0"/>
    <x v="0"/>
    <x v="0"/>
    <x v="189"/>
    <x v="196"/>
    <x v="1"/>
    <x v="2"/>
    <x v="1"/>
    <x v="2"/>
    <x v="1"/>
    <x v="2"/>
    <x v="1"/>
    <x v="188"/>
    <x v="0"/>
  </r>
  <r>
    <x v="0"/>
    <x v="0"/>
    <x v="0"/>
    <x v="2"/>
    <x v="0"/>
    <x v="4"/>
    <x v="1"/>
    <x v="5"/>
    <x v="13"/>
    <x v="27"/>
    <x v="0"/>
    <x v="0"/>
    <x v="1"/>
    <x v="0"/>
    <x v="0"/>
    <x v="0"/>
    <x v="130"/>
    <x v="133"/>
    <x v="1"/>
    <x v="1"/>
    <x v="1"/>
    <x v="1"/>
    <x v="9"/>
    <x v="2"/>
    <x v="9"/>
    <x v="81"/>
    <x v="0"/>
  </r>
  <r>
    <x v="0"/>
    <x v="0"/>
    <x v="0"/>
    <x v="2"/>
    <x v="0"/>
    <x v="5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5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5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5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5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5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5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5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5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5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5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5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5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5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5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5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5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5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5"/>
    <x v="1"/>
    <x v="8"/>
    <x v="10"/>
    <x v="6"/>
    <x v="0"/>
    <x v="0"/>
    <x v="1"/>
    <x v="0"/>
    <x v="0"/>
    <x v="0"/>
    <x v="155"/>
    <x v="159"/>
    <x v="1"/>
    <x v="4"/>
    <x v="1"/>
    <x v="4"/>
    <x v="4"/>
    <x v="2"/>
    <x v="4"/>
    <x v="110"/>
    <x v="0"/>
  </r>
  <r>
    <x v="0"/>
    <x v="0"/>
    <x v="0"/>
    <x v="2"/>
    <x v="0"/>
    <x v="5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5"/>
    <x v="1"/>
    <x v="8"/>
    <x v="13"/>
    <x v="27"/>
    <x v="0"/>
    <x v="0"/>
    <x v="1"/>
    <x v="0"/>
    <x v="0"/>
    <x v="0"/>
    <x v="64"/>
    <x v="65"/>
    <x v="1"/>
    <x v="1"/>
    <x v="1"/>
    <x v="1"/>
    <x v="9"/>
    <x v="2"/>
    <x v="9"/>
    <x v="23"/>
    <x v="0"/>
  </r>
  <r>
    <x v="0"/>
    <x v="0"/>
    <x v="0"/>
    <x v="2"/>
    <x v="0"/>
    <x v="5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5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5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5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5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5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5"/>
    <x v="1"/>
    <x v="5"/>
    <x v="5"/>
    <x v="13"/>
    <x v="0"/>
    <x v="0"/>
    <x v="1"/>
    <x v="0"/>
    <x v="0"/>
    <x v="4"/>
    <x v="31"/>
    <x v="32"/>
    <x v="1"/>
    <x v="15"/>
    <x v="1"/>
    <x v="15"/>
    <x v="18"/>
    <x v="2"/>
    <x v="18"/>
    <x v="168"/>
    <x v="0"/>
  </r>
  <r>
    <x v="0"/>
    <x v="0"/>
    <x v="0"/>
    <x v="2"/>
    <x v="0"/>
    <x v="5"/>
    <x v="1"/>
    <x v="5"/>
    <x v="8"/>
    <x v="10"/>
    <x v="0"/>
    <x v="0"/>
    <x v="1"/>
    <x v="0"/>
    <x v="0"/>
    <x v="3"/>
    <x v="77"/>
    <x v="79"/>
    <x v="1"/>
    <x v="12"/>
    <x v="1"/>
    <x v="12"/>
    <x v="13"/>
    <x v="2"/>
    <x v="13"/>
    <x v="141"/>
    <x v="0"/>
  </r>
  <r>
    <x v="0"/>
    <x v="0"/>
    <x v="0"/>
    <x v="2"/>
    <x v="0"/>
    <x v="5"/>
    <x v="1"/>
    <x v="5"/>
    <x v="10"/>
    <x v="4"/>
    <x v="0"/>
    <x v="0"/>
    <x v="1"/>
    <x v="0"/>
    <x v="0"/>
    <x v="0"/>
    <x v="173"/>
    <x v="178"/>
    <x v="1"/>
    <x v="5"/>
    <x v="1"/>
    <x v="5"/>
    <x v="6"/>
    <x v="2"/>
    <x v="6"/>
    <x v="143"/>
    <x v="0"/>
  </r>
  <r>
    <x v="0"/>
    <x v="0"/>
    <x v="0"/>
    <x v="2"/>
    <x v="0"/>
    <x v="5"/>
    <x v="1"/>
    <x v="5"/>
    <x v="10"/>
    <x v="7"/>
    <x v="0"/>
    <x v="0"/>
    <x v="1"/>
    <x v="0"/>
    <x v="0"/>
    <x v="0"/>
    <x v="146"/>
    <x v="149"/>
    <x v="1"/>
    <x v="3"/>
    <x v="1"/>
    <x v="3"/>
    <x v="3"/>
    <x v="2"/>
    <x v="3"/>
    <x v="92"/>
    <x v="0"/>
  </r>
  <r>
    <x v="0"/>
    <x v="0"/>
    <x v="0"/>
    <x v="2"/>
    <x v="0"/>
    <x v="5"/>
    <x v="1"/>
    <x v="5"/>
    <x v="10"/>
    <x v="8"/>
    <x v="0"/>
    <x v="0"/>
    <x v="1"/>
    <x v="0"/>
    <x v="0"/>
    <x v="0"/>
    <x v="184"/>
    <x v="190"/>
    <x v="1"/>
    <x v="2"/>
    <x v="1"/>
    <x v="2"/>
    <x v="2"/>
    <x v="2"/>
    <x v="2"/>
    <x v="170"/>
    <x v="0"/>
  </r>
  <r>
    <x v="0"/>
    <x v="0"/>
    <x v="0"/>
    <x v="2"/>
    <x v="0"/>
    <x v="5"/>
    <x v="1"/>
    <x v="5"/>
    <x v="13"/>
    <x v="27"/>
    <x v="0"/>
    <x v="0"/>
    <x v="1"/>
    <x v="0"/>
    <x v="0"/>
    <x v="0"/>
    <x v="106"/>
    <x v="109"/>
    <x v="1"/>
    <x v="1"/>
    <x v="1"/>
    <x v="1"/>
    <x v="9"/>
    <x v="2"/>
    <x v="9"/>
    <x v="61"/>
    <x v="0"/>
  </r>
  <r>
    <x v="0"/>
    <x v="0"/>
    <x v="0"/>
    <x v="2"/>
    <x v="0"/>
    <x v="6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6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6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6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6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6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6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6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6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6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6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6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6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6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6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6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6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6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6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6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6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6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6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6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6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6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6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6"/>
    <x v="1"/>
    <x v="5"/>
    <x v="5"/>
    <x v="13"/>
    <x v="0"/>
    <x v="0"/>
    <x v="1"/>
    <x v="0"/>
    <x v="0"/>
    <x v="4"/>
    <x v="31"/>
    <x v="32"/>
    <x v="1"/>
    <x v="15"/>
    <x v="1"/>
    <x v="15"/>
    <x v="18"/>
    <x v="2"/>
    <x v="18"/>
    <x v="168"/>
    <x v="0"/>
  </r>
  <r>
    <x v="0"/>
    <x v="0"/>
    <x v="0"/>
    <x v="2"/>
    <x v="0"/>
    <x v="6"/>
    <x v="1"/>
    <x v="5"/>
    <x v="8"/>
    <x v="10"/>
    <x v="0"/>
    <x v="0"/>
    <x v="1"/>
    <x v="0"/>
    <x v="0"/>
    <x v="3"/>
    <x v="77"/>
    <x v="79"/>
    <x v="1"/>
    <x v="12"/>
    <x v="1"/>
    <x v="12"/>
    <x v="13"/>
    <x v="2"/>
    <x v="13"/>
    <x v="141"/>
    <x v="0"/>
  </r>
  <r>
    <x v="0"/>
    <x v="0"/>
    <x v="0"/>
    <x v="2"/>
    <x v="0"/>
    <x v="6"/>
    <x v="1"/>
    <x v="5"/>
    <x v="10"/>
    <x v="3"/>
    <x v="0"/>
    <x v="0"/>
    <x v="1"/>
    <x v="0"/>
    <x v="0"/>
    <x v="0"/>
    <x v="110"/>
    <x v="113"/>
    <x v="1"/>
    <x v="6"/>
    <x v="1"/>
    <x v="6"/>
    <x v="8"/>
    <x v="2"/>
    <x v="8"/>
    <x v="49"/>
    <x v="0"/>
  </r>
  <r>
    <x v="0"/>
    <x v="0"/>
    <x v="0"/>
    <x v="2"/>
    <x v="0"/>
    <x v="6"/>
    <x v="1"/>
    <x v="5"/>
    <x v="10"/>
    <x v="4"/>
    <x v="0"/>
    <x v="0"/>
    <x v="1"/>
    <x v="0"/>
    <x v="0"/>
    <x v="0"/>
    <x v="166"/>
    <x v="170"/>
    <x v="1"/>
    <x v="5"/>
    <x v="1"/>
    <x v="5"/>
    <x v="6"/>
    <x v="2"/>
    <x v="6"/>
    <x v="126"/>
    <x v="0"/>
  </r>
  <r>
    <x v="0"/>
    <x v="0"/>
    <x v="0"/>
    <x v="2"/>
    <x v="0"/>
    <x v="6"/>
    <x v="1"/>
    <x v="5"/>
    <x v="10"/>
    <x v="7"/>
    <x v="0"/>
    <x v="0"/>
    <x v="1"/>
    <x v="0"/>
    <x v="0"/>
    <x v="0"/>
    <x v="146"/>
    <x v="149"/>
    <x v="1"/>
    <x v="3"/>
    <x v="1"/>
    <x v="3"/>
    <x v="3"/>
    <x v="2"/>
    <x v="3"/>
    <x v="92"/>
    <x v="0"/>
  </r>
  <r>
    <x v="0"/>
    <x v="0"/>
    <x v="0"/>
    <x v="2"/>
    <x v="0"/>
    <x v="6"/>
    <x v="1"/>
    <x v="5"/>
    <x v="10"/>
    <x v="8"/>
    <x v="0"/>
    <x v="0"/>
    <x v="1"/>
    <x v="0"/>
    <x v="0"/>
    <x v="0"/>
    <x v="184"/>
    <x v="190"/>
    <x v="1"/>
    <x v="2"/>
    <x v="1"/>
    <x v="2"/>
    <x v="2"/>
    <x v="2"/>
    <x v="2"/>
    <x v="170"/>
    <x v="0"/>
  </r>
  <r>
    <x v="0"/>
    <x v="0"/>
    <x v="0"/>
    <x v="2"/>
    <x v="0"/>
    <x v="6"/>
    <x v="1"/>
    <x v="5"/>
    <x v="13"/>
    <x v="27"/>
    <x v="0"/>
    <x v="0"/>
    <x v="1"/>
    <x v="0"/>
    <x v="0"/>
    <x v="0"/>
    <x v="104"/>
    <x v="107"/>
    <x v="1"/>
    <x v="1"/>
    <x v="1"/>
    <x v="1"/>
    <x v="9"/>
    <x v="2"/>
    <x v="9"/>
    <x v="60"/>
    <x v="0"/>
  </r>
  <r>
    <x v="0"/>
    <x v="0"/>
    <x v="0"/>
    <x v="2"/>
    <x v="0"/>
    <x v="7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7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7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7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7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7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7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7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7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7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7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7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7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7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7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7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7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7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7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7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7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7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7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7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7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7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7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7"/>
    <x v="1"/>
    <x v="5"/>
    <x v="5"/>
    <x v="13"/>
    <x v="0"/>
    <x v="0"/>
    <x v="1"/>
    <x v="0"/>
    <x v="0"/>
    <x v="4"/>
    <x v="31"/>
    <x v="32"/>
    <x v="1"/>
    <x v="15"/>
    <x v="1"/>
    <x v="15"/>
    <x v="18"/>
    <x v="2"/>
    <x v="18"/>
    <x v="168"/>
    <x v="0"/>
  </r>
  <r>
    <x v="0"/>
    <x v="0"/>
    <x v="0"/>
    <x v="2"/>
    <x v="0"/>
    <x v="7"/>
    <x v="1"/>
    <x v="5"/>
    <x v="8"/>
    <x v="10"/>
    <x v="0"/>
    <x v="0"/>
    <x v="1"/>
    <x v="0"/>
    <x v="0"/>
    <x v="3"/>
    <x v="77"/>
    <x v="79"/>
    <x v="1"/>
    <x v="12"/>
    <x v="1"/>
    <x v="12"/>
    <x v="13"/>
    <x v="2"/>
    <x v="13"/>
    <x v="141"/>
    <x v="0"/>
  </r>
  <r>
    <x v="0"/>
    <x v="0"/>
    <x v="0"/>
    <x v="2"/>
    <x v="0"/>
    <x v="7"/>
    <x v="1"/>
    <x v="5"/>
    <x v="10"/>
    <x v="3"/>
    <x v="0"/>
    <x v="0"/>
    <x v="1"/>
    <x v="0"/>
    <x v="0"/>
    <x v="0"/>
    <x v="110"/>
    <x v="113"/>
    <x v="1"/>
    <x v="6"/>
    <x v="1"/>
    <x v="6"/>
    <x v="8"/>
    <x v="2"/>
    <x v="8"/>
    <x v="49"/>
    <x v="0"/>
  </r>
  <r>
    <x v="0"/>
    <x v="0"/>
    <x v="0"/>
    <x v="2"/>
    <x v="0"/>
    <x v="7"/>
    <x v="1"/>
    <x v="5"/>
    <x v="10"/>
    <x v="4"/>
    <x v="0"/>
    <x v="0"/>
    <x v="1"/>
    <x v="0"/>
    <x v="0"/>
    <x v="0"/>
    <x v="166"/>
    <x v="170"/>
    <x v="1"/>
    <x v="5"/>
    <x v="1"/>
    <x v="5"/>
    <x v="6"/>
    <x v="2"/>
    <x v="6"/>
    <x v="126"/>
    <x v="0"/>
  </r>
  <r>
    <x v="0"/>
    <x v="0"/>
    <x v="0"/>
    <x v="2"/>
    <x v="0"/>
    <x v="7"/>
    <x v="1"/>
    <x v="5"/>
    <x v="10"/>
    <x v="7"/>
    <x v="0"/>
    <x v="0"/>
    <x v="1"/>
    <x v="0"/>
    <x v="0"/>
    <x v="0"/>
    <x v="146"/>
    <x v="149"/>
    <x v="1"/>
    <x v="3"/>
    <x v="1"/>
    <x v="3"/>
    <x v="3"/>
    <x v="2"/>
    <x v="3"/>
    <x v="92"/>
    <x v="0"/>
  </r>
  <r>
    <x v="0"/>
    <x v="0"/>
    <x v="0"/>
    <x v="2"/>
    <x v="0"/>
    <x v="7"/>
    <x v="1"/>
    <x v="5"/>
    <x v="10"/>
    <x v="8"/>
    <x v="0"/>
    <x v="0"/>
    <x v="1"/>
    <x v="0"/>
    <x v="0"/>
    <x v="0"/>
    <x v="184"/>
    <x v="190"/>
    <x v="1"/>
    <x v="2"/>
    <x v="1"/>
    <x v="2"/>
    <x v="2"/>
    <x v="2"/>
    <x v="2"/>
    <x v="170"/>
    <x v="0"/>
  </r>
  <r>
    <x v="0"/>
    <x v="0"/>
    <x v="0"/>
    <x v="2"/>
    <x v="0"/>
    <x v="7"/>
    <x v="1"/>
    <x v="5"/>
    <x v="13"/>
    <x v="27"/>
    <x v="0"/>
    <x v="0"/>
    <x v="1"/>
    <x v="0"/>
    <x v="0"/>
    <x v="0"/>
    <x v="104"/>
    <x v="107"/>
    <x v="1"/>
    <x v="1"/>
    <x v="1"/>
    <x v="1"/>
    <x v="9"/>
    <x v="2"/>
    <x v="9"/>
    <x v="60"/>
    <x v="0"/>
  </r>
  <r>
    <x v="0"/>
    <x v="0"/>
    <x v="0"/>
    <x v="2"/>
    <x v="0"/>
    <x v="8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8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8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8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8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8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8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8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8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8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8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8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8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8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8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8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8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8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8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8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8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8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8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8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8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8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8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8"/>
    <x v="1"/>
    <x v="5"/>
    <x v="5"/>
    <x v="13"/>
    <x v="0"/>
    <x v="0"/>
    <x v="1"/>
    <x v="0"/>
    <x v="0"/>
    <x v="4"/>
    <x v="31"/>
    <x v="32"/>
    <x v="1"/>
    <x v="15"/>
    <x v="1"/>
    <x v="15"/>
    <x v="18"/>
    <x v="2"/>
    <x v="18"/>
    <x v="168"/>
    <x v="0"/>
  </r>
  <r>
    <x v="0"/>
    <x v="0"/>
    <x v="0"/>
    <x v="2"/>
    <x v="0"/>
    <x v="8"/>
    <x v="1"/>
    <x v="5"/>
    <x v="8"/>
    <x v="10"/>
    <x v="0"/>
    <x v="0"/>
    <x v="1"/>
    <x v="0"/>
    <x v="0"/>
    <x v="3"/>
    <x v="77"/>
    <x v="79"/>
    <x v="1"/>
    <x v="12"/>
    <x v="1"/>
    <x v="12"/>
    <x v="13"/>
    <x v="2"/>
    <x v="13"/>
    <x v="141"/>
    <x v="0"/>
  </r>
  <r>
    <x v="0"/>
    <x v="0"/>
    <x v="0"/>
    <x v="2"/>
    <x v="0"/>
    <x v="8"/>
    <x v="1"/>
    <x v="5"/>
    <x v="10"/>
    <x v="3"/>
    <x v="0"/>
    <x v="0"/>
    <x v="1"/>
    <x v="0"/>
    <x v="0"/>
    <x v="0"/>
    <x v="110"/>
    <x v="113"/>
    <x v="1"/>
    <x v="6"/>
    <x v="1"/>
    <x v="6"/>
    <x v="8"/>
    <x v="2"/>
    <x v="8"/>
    <x v="49"/>
    <x v="0"/>
  </r>
  <r>
    <x v="0"/>
    <x v="0"/>
    <x v="0"/>
    <x v="2"/>
    <x v="0"/>
    <x v="8"/>
    <x v="1"/>
    <x v="5"/>
    <x v="10"/>
    <x v="4"/>
    <x v="0"/>
    <x v="0"/>
    <x v="1"/>
    <x v="0"/>
    <x v="0"/>
    <x v="0"/>
    <x v="166"/>
    <x v="170"/>
    <x v="1"/>
    <x v="5"/>
    <x v="1"/>
    <x v="5"/>
    <x v="6"/>
    <x v="2"/>
    <x v="6"/>
    <x v="126"/>
    <x v="0"/>
  </r>
  <r>
    <x v="0"/>
    <x v="0"/>
    <x v="0"/>
    <x v="2"/>
    <x v="0"/>
    <x v="8"/>
    <x v="1"/>
    <x v="5"/>
    <x v="10"/>
    <x v="7"/>
    <x v="0"/>
    <x v="0"/>
    <x v="1"/>
    <x v="0"/>
    <x v="0"/>
    <x v="0"/>
    <x v="146"/>
    <x v="149"/>
    <x v="1"/>
    <x v="3"/>
    <x v="1"/>
    <x v="3"/>
    <x v="3"/>
    <x v="2"/>
    <x v="3"/>
    <x v="92"/>
    <x v="0"/>
  </r>
  <r>
    <x v="0"/>
    <x v="0"/>
    <x v="0"/>
    <x v="2"/>
    <x v="0"/>
    <x v="8"/>
    <x v="1"/>
    <x v="5"/>
    <x v="10"/>
    <x v="8"/>
    <x v="0"/>
    <x v="0"/>
    <x v="1"/>
    <x v="0"/>
    <x v="0"/>
    <x v="0"/>
    <x v="184"/>
    <x v="190"/>
    <x v="1"/>
    <x v="2"/>
    <x v="1"/>
    <x v="2"/>
    <x v="2"/>
    <x v="2"/>
    <x v="2"/>
    <x v="170"/>
    <x v="0"/>
  </r>
  <r>
    <x v="0"/>
    <x v="0"/>
    <x v="0"/>
    <x v="2"/>
    <x v="0"/>
    <x v="8"/>
    <x v="1"/>
    <x v="5"/>
    <x v="13"/>
    <x v="27"/>
    <x v="0"/>
    <x v="0"/>
    <x v="1"/>
    <x v="0"/>
    <x v="0"/>
    <x v="0"/>
    <x v="104"/>
    <x v="107"/>
    <x v="1"/>
    <x v="1"/>
    <x v="1"/>
    <x v="1"/>
    <x v="9"/>
    <x v="2"/>
    <x v="9"/>
    <x v="60"/>
    <x v="0"/>
  </r>
  <r>
    <x v="0"/>
    <x v="0"/>
    <x v="0"/>
    <x v="2"/>
    <x v="0"/>
    <x v="9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9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9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9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9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9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9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9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9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9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9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9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9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9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9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9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9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9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9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9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9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9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9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9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9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9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9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9"/>
    <x v="1"/>
    <x v="5"/>
    <x v="5"/>
    <x v="13"/>
    <x v="0"/>
    <x v="0"/>
    <x v="1"/>
    <x v="0"/>
    <x v="0"/>
    <x v="4"/>
    <x v="29"/>
    <x v="30"/>
    <x v="1"/>
    <x v="15"/>
    <x v="1"/>
    <x v="15"/>
    <x v="18"/>
    <x v="2"/>
    <x v="18"/>
    <x v="165"/>
    <x v="0"/>
  </r>
  <r>
    <x v="0"/>
    <x v="0"/>
    <x v="0"/>
    <x v="2"/>
    <x v="0"/>
    <x v="9"/>
    <x v="1"/>
    <x v="5"/>
    <x v="8"/>
    <x v="10"/>
    <x v="0"/>
    <x v="0"/>
    <x v="1"/>
    <x v="0"/>
    <x v="0"/>
    <x v="3"/>
    <x v="76"/>
    <x v="78"/>
    <x v="1"/>
    <x v="12"/>
    <x v="1"/>
    <x v="12"/>
    <x v="13"/>
    <x v="2"/>
    <x v="13"/>
    <x v="140"/>
    <x v="0"/>
  </r>
  <r>
    <x v="0"/>
    <x v="0"/>
    <x v="0"/>
    <x v="2"/>
    <x v="0"/>
    <x v="9"/>
    <x v="1"/>
    <x v="5"/>
    <x v="10"/>
    <x v="3"/>
    <x v="0"/>
    <x v="0"/>
    <x v="1"/>
    <x v="0"/>
    <x v="0"/>
    <x v="0"/>
    <x v="159"/>
    <x v="163"/>
    <x v="1"/>
    <x v="6"/>
    <x v="1"/>
    <x v="6"/>
    <x v="8"/>
    <x v="2"/>
    <x v="8"/>
    <x v="120"/>
    <x v="0"/>
  </r>
  <r>
    <x v="0"/>
    <x v="0"/>
    <x v="0"/>
    <x v="2"/>
    <x v="0"/>
    <x v="9"/>
    <x v="1"/>
    <x v="5"/>
    <x v="10"/>
    <x v="7"/>
    <x v="0"/>
    <x v="0"/>
    <x v="1"/>
    <x v="0"/>
    <x v="0"/>
    <x v="0"/>
    <x v="181"/>
    <x v="187"/>
    <x v="1"/>
    <x v="3"/>
    <x v="1"/>
    <x v="3"/>
    <x v="3"/>
    <x v="2"/>
    <x v="3"/>
    <x v="162"/>
    <x v="0"/>
  </r>
  <r>
    <x v="0"/>
    <x v="0"/>
    <x v="0"/>
    <x v="2"/>
    <x v="0"/>
    <x v="9"/>
    <x v="1"/>
    <x v="5"/>
    <x v="13"/>
    <x v="27"/>
    <x v="0"/>
    <x v="0"/>
    <x v="1"/>
    <x v="0"/>
    <x v="0"/>
    <x v="0"/>
    <x v="90"/>
    <x v="93"/>
    <x v="1"/>
    <x v="1"/>
    <x v="1"/>
    <x v="1"/>
    <x v="9"/>
    <x v="2"/>
    <x v="9"/>
    <x v="48"/>
    <x v="0"/>
  </r>
  <r>
    <x v="0"/>
    <x v="0"/>
    <x v="0"/>
    <x v="2"/>
    <x v="0"/>
    <x v="10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10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10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10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10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10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10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10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10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10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10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10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10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10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10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10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10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10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10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10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10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10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10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10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10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10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10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10"/>
    <x v="1"/>
    <x v="5"/>
    <x v="5"/>
    <x v="13"/>
    <x v="0"/>
    <x v="0"/>
    <x v="1"/>
    <x v="0"/>
    <x v="0"/>
    <x v="4"/>
    <x v="29"/>
    <x v="30"/>
    <x v="1"/>
    <x v="15"/>
    <x v="1"/>
    <x v="15"/>
    <x v="18"/>
    <x v="2"/>
    <x v="18"/>
    <x v="165"/>
    <x v="0"/>
  </r>
  <r>
    <x v="0"/>
    <x v="0"/>
    <x v="0"/>
    <x v="2"/>
    <x v="0"/>
    <x v="10"/>
    <x v="1"/>
    <x v="5"/>
    <x v="8"/>
    <x v="10"/>
    <x v="0"/>
    <x v="0"/>
    <x v="1"/>
    <x v="0"/>
    <x v="0"/>
    <x v="3"/>
    <x v="76"/>
    <x v="78"/>
    <x v="1"/>
    <x v="12"/>
    <x v="1"/>
    <x v="12"/>
    <x v="13"/>
    <x v="2"/>
    <x v="13"/>
    <x v="140"/>
    <x v="0"/>
  </r>
  <r>
    <x v="0"/>
    <x v="0"/>
    <x v="0"/>
    <x v="2"/>
    <x v="0"/>
    <x v="10"/>
    <x v="1"/>
    <x v="5"/>
    <x v="10"/>
    <x v="3"/>
    <x v="0"/>
    <x v="0"/>
    <x v="1"/>
    <x v="0"/>
    <x v="0"/>
    <x v="0"/>
    <x v="159"/>
    <x v="163"/>
    <x v="1"/>
    <x v="6"/>
    <x v="1"/>
    <x v="6"/>
    <x v="8"/>
    <x v="2"/>
    <x v="8"/>
    <x v="120"/>
    <x v="0"/>
  </r>
  <r>
    <x v="0"/>
    <x v="0"/>
    <x v="0"/>
    <x v="2"/>
    <x v="0"/>
    <x v="10"/>
    <x v="1"/>
    <x v="5"/>
    <x v="10"/>
    <x v="7"/>
    <x v="0"/>
    <x v="0"/>
    <x v="1"/>
    <x v="0"/>
    <x v="0"/>
    <x v="0"/>
    <x v="181"/>
    <x v="187"/>
    <x v="1"/>
    <x v="3"/>
    <x v="1"/>
    <x v="3"/>
    <x v="3"/>
    <x v="2"/>
    <x v="3"/>
    <x v="162"/>
    <x v="0"/>
  </r>
  <r>
    <x v="0"/>
    <x v="0"/>
    <x v="0"/>
    <x v="2"/>
    <x v="0"/>
    <x v="10"/>
    <x v="1"/>
    <x v="5"/>
    <x v="13"/>
    <x v="27"/>
    <x v="0"/>
    <x v="0"/>
    <x v="1"/>
    <x v="0"/>
    <x v="0"/>
    <x v="0"/>
    <x v="90"/>
    <x v="93"/>
    <x v="1"/>
    <x v="1"/>
    <x v="1"/>
    <x v="1"/>
    <x v="9"/>
    <x v="2"/>
    <x v="9"/>
    <x v="48"/>
    <x v="0"/>
  </r>
  <r>
    <x v="0"/>
    <x v="0"/>
    <x v="0"/>
    <x v="2"/>
    <x v="0"/>
    <x v="11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11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11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11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11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11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11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11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11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11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11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11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11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11"/>
    <x v="1"/>
    <x v="6"/>
    <x v="13"/>
    <x v="27"/>
    <x v="0"/>
    <x v="0"/>
    <x v="1"/>
    <x v="0"/>
    <x v="0"/>
    <x v="0"/>
    <x v="118"/>
    <x v="121"/>
    <x v="1"/>
    <x v="1"/>
    <x v="1"/>
    <x v="1"/>
    <x v="9"/>
    <x v="2"/>
    <x v="9"/>
    <x v="70"/>
    <x v="0"/>
  </r>
  <r>
    <x v="0"/>
    <x v="0"/>
    <x v="0"/>
    <x v="2"/>
    <x v="0"/>
    <x v="11"/>
    <x v="1"/>
    <x v="8"/>
    <x v="5"/>
    <x v="13"/>
    <x v="0"/>
    <x v="0"/>
    <x v="1"/>
    <x v="0"/>
    <x v="0"/>
    <x v="4"/>
    <x v="20"/>
    <x v="20"/>
    <x v="1"/>
    <x v="15"/>
    <x v="1"/>
    <x v="15"/>
    <x v="18"/>
    <x v="2"/>
    <x v="18"/>
    <x v="146"/>
    <x v="0"/>
  </r>
  <r>
    <x v="0"/>
    <x v="0"/>
    <x v="0"/>
    <x v="2"/>
    <x v="0"/>
    <x v="11"/>
    <x v="1"/>
    <x v="8"/>
    <x v="8"/>
    <x v="10"/>
    <x v="0"/>
    <x v="0"/>
    <x v="1"/>
    <x v="0"/>
    <x v="0"/>
    <x v="3"/>
    <x v="60"/>
    <x v="61"/>
    <x v="1"/>
    <x v="12"/>
    <x v="1"/>
    <x v="12"/>
    <x v="13"/>
    <x v="2"/>
    <x v="13"/>
    <x v="115"/>
    <x v="0"/>
  </r>
  <r>
    <x v="0"/>
    <x v="0"/>
    <x v="0"/>
    <x v="2"/>
    <x v="0"/>
    <x v="11"/>
    <x v="1"/>
    <x v="8"/>
    <x v="10"/>
    <x v="3"/>
    <x v="0"/>
    <x v="0"/>
    <x v="1"/>
    <x v="0"/>
    <x v="0"/>
    <x v="0"/>
    <x v="87"/>
    <x v="89"/>
    <x v="1"/>
    <x v="6"/>
    <x v="1"/>
    <x v="6"/>
    <x v="8"/>
    <x v="2"/>
    <x v="8"/>
    <x v="31"/>
    <x v="0"/>
  </r>
  <r>
    <x v="0"/>
    <x v="0"/>
    <x v="0"/>
    <x v="2"/>
    <x v="0"/>
    <x v="11"/>
    <x v="1"/>
    <x v="8"/>
    <x v="10"/>
    <x v="4"/>
    <x v="0"/>
    <x v="0"/>
    <x v="1"/>
    <x v="0"/>
    <x v="0"/>
    <x v="0"/>
    <x v="142"/>
    <x v="145"/>
    <x v="1"/>
    <x v="5"/>
    <x v="1"/>
    <x v="5"/>
    <x v="6"/>
    <x v="2"/>
    <x v="6"/>
    <x v="88"/>
    <x v="0"/>
  </r>
  <r>
    <x v="0"/>
    <x v="0"/>
    <x v="0"/>
    <x v="2"/>
    <x v="0"/>
    <x v="11"/>
    <x v="1"/>
    <x v="8"/>
    <x v="10"/>
    <x v="5"/>
    <x v="0"/>
    <x v="0"/>
    <x v="1"/>
    <x v="0"/>
    <x v="0"/>
    <x v="0"/>
    <x v="144"/>
    <x v="147"/>
    <x v="1"/>
    <x v="4"/>
    <x v="1"/>
    <x v="4"/>
    <x v="5"/>
    <x v="2"/>
    <x v="5"/>
    <x v="90"/>
    <x v="0"/>
  </r>
  <r>
    <x v="0"/>
    <x v="0"/>
    <x v="0"/>
    <x v="2"/>
    <x v="0"/>
    <x v="11"/>
    <x v="1"/>
    <x v="8"/>
    <x v="10"/>
    <x v="7"/>
    <x v="0"/>
    <x v="0"/>
    <x v="1"/>
    <x v="0"/>
    <x v="0"/>
    <x v="0"/>
    <x v="136"/>
    <x v="139"/>
    <x v="1"/>
    <x v="3"/>
    <x v="1"/>
    <x v="3"/>
    <x v="3"/>
    <x v="2"/>
    <x v="3"/>
    <x v="77"/>
    <x v="0"/>
  </r>
  <r>
    <x v="0"/>
    <x v="0"/>
    <x v="0"/>
    <x v="2"/>
    <x v="0"/>
    <x v="11"/>
    <x v="1"/>
    <x v="8"/>
    <x v="13"/>
    <x v="27"/>
    <x v="0"/>
    <x v="0"/>
    <x v="1"/>
    <x v="0"/>
    <x v="0"/>
    <x v="0"/>
    <x v="54"/>
    <x v="55"/>
    <x v="1"/>
    <x v="1"/>
    <x v="1"/>
    <x v="1"/>
    <x v="9"/>
    <x v="2"/>
    <x v="9"/>
    <x v="15"/>
    <x v="0"/>
  </r>
  <r>
    <x v="0"/>
    <x v="0"/>
    <x v="0"/>
    <x v="2"/>
    <x v="0"/>
    <x v="11"/>
    <x v="1"/>
    <x v="7"/>
    <x v="5"/>
    <x v="13"/>
    <x v="0"/>
    <x v="0"/>
    <x v="1"/>
    <x v="0"/>
    <x v="0"/>
    <x v="4"/>
    <x v="3"/>
    <x v="3"/>
    <x v="1"/>
    <x v="15"/>
    <x v="1"/>
    <x v="15"/>
    <x v="18"/>
    <x v="2"/>
    <x v="18"/>
    <x v="67"/>
    <x v="0"/>
  </r>
  <r>
    <x v="0"/>
    <x v="0"/>
    <x v="0"/>
    <x v="2"/>
    <x v="0"/>
    <x v="11"/>
    <x v="1"/>
    <x v="7"/>
    <x v="8"/>
    <x v="10"/>
    <x v="0"/>
    <x v="0"/>
    <x v="1"/>
    <x v="0"/>
    <x v="0"/>
    <x v="3"/>
    <x v="43"/>
    <x v="44"/>
    <x v="1"/>
    <x v="12"/>
    <x v="1"/>
    <x v="12"/>
    <x v="13"/>
    <x v="2"/>
    <x v="13"/>
    <x v="85"/>
    <x v="0"/>
  </r>
  <r>
    <x v="0"/>
    <x v="0"/>
    <x v="0"/>
    <x v="2"/>
    <x v="0"/>
    <x v="11"/>
    <x v="1"/>
    <x v="7"/>
    <x v="10"/>
    <x v="19"/>
    <x v="0"/>
    <x v="0"/>
    <x v="1"/>
    <x v="0"/>
    <x v="0"/>
    <x v="0"/>
    <x v="36"/>
    <x v="38"/>
    <x v="1"/>
    <x v="6"/>
    <x v="1"/>
    <x v="6"/>
    <x v="7"/>
    <x v="2"/>
    <x v="7"/>
    <x v="2"/>
    <x v="0"/>
  </r>
  <r>
    <x v="0"/>
    <x v="0"/>
    <x v="0"/>
    <x v="2"/>
    <x v="0"/>
    <x v="11"/>
    <x v="1"/>
    <x v="7"/>
    <x v="10"/>
    <x v="4"/>
    <x v="0"/>
    <x v="0"/>
    <x v="1"/>
    <x v="0"/>
    <x v="0"/>
    <x v="0"/>
    <x v="129"/>
    <x v="132"/>
    <x v="1"/>
    <x v="5"/>
    <x v="1"/>
    <x v="5"/>
    <x v="6"/>
    <x v="2"/>
    <x v="6"/>
    <x v="64"/>
    <x v="0"/>
  </r>
  <r>
    <x v="0"/>
    <x v="0"/>
    <x v="0"/>
    <x v="2"/>
    <x v="0"/>
    <x v="11"/>
    <x v="1"/>
    <x v="7"/>
    <x v="10"/>
    <x v="6"/>
    <x v="0"/>
    <x v="0"/>
    <x v="1"/>
    <x v="0"/>
    <x v="0"/>
    <x v="0"/>
    <x v="52"/>
    <x v="53"/>
    <x v="1"/>
    <x v="4"/>
    <x v="1"/>
    <x v="4"/>
    <x v="4"/>
    <x v="2"/>
    <x v="4"/>
    <x v="9"/>
    <x v="0"/>
  </r>
  <r>
    <x v="0"/>
    <x v="0"/>
    <x v="0"/>
    <x v="2"/>
    <x v="0"/>
    <x v="11"/>
    <x v="1"/>
    <x v="7"/>
    <x v="13"/>
    <x v="27"/>
    <x v="0"/>
    <x v="0"/>
    <x v="1"/>
    <x v="0"/>
    <x v="0"/>
    <x v="0"/>
    <x v="24"/>
    <x v="24"/>
    <x v="1"/>
    <x v="1"/>
    <x v="1"/>
    <x v="1"/>
    <x v="9"/>
    <x v="2"/>
    <x v="9"/>
    <x v="1"/>
    <x v="0"/>
  </r>
  <r>
    <x v="0"/>
    <x v="0"/>
    <x v="0"/>
    <x v="2"/>
    <x v="0"/>
    <x v="11"/>
    <x v="1"/>
    <x v="5"/>
    <x v="5"/>
    <x v="13"/>
    <x v="0"/>
    <x v="0"/>
    <x v="1"/>
    <x v="0"/>
    <x v="0"/>
    <x v="4"/>
    <x v="29"/>
    <x v="30"/>
    <x v="1"/>
    <x v="15"/>
    <x v="1"/>
    <x v="15"/>
    <x v="18"/>
    <x v="2"/>
    <x v="18"/>
    <x v="165"/>
    <x v="0"/>
  </r>
  <r>
    <x v="0"/>
    <x v="0"/>
    <x v="0"/>
    <x v="2"/>
    <x v="0"/>
    <x v="11"/>
    <x v="1"/>
    <x v="5"/>
    <x v="8"/>
    <x v="10"/>
    <x v="0"/>
    <x v="0"/>
    <x v="1"/>
    <x v="0"/>
    <x v="0"/>
    <x v="3"/>
    <x v="76"/>
    <x v="78"/>
    <x v="1"/>
    <x v="12"/>
    <x v="1"/>
    <x v="12"/>
    <x v="13"/>
    <x v="2"/>
    <x v="13"/>
    <x v="140"/>
    <x v="0"/>
  </r>
  <r>
    <x v="0"/>
    <x v="0"/>
    <x v="0"/>
    <x v="2"/>
    <x v="0"/>
    <x v="11"/>
    <x v="1"/>
    <x v="5"/>
    <x v="10"/>
    <x v="3"/>
    <x v="0"/>
    <x v="0"/>
    <x v="1"/>
    <x v="0"/>
    <x v="0"/>
    <x v="0"/>
    <x v="159"/>
    <x v="163"/>
    <x v="1"/>
    <x v="6"/>
    <x v="1"/>
    <x v="6"/>
    <x v="8"/>
    <x v="2"/>
    <x v="8"/>
    <x v="120"/>
    <x v="0"/>
  </r>
  <r>
    <x v="0"/>
    <x v="0"/>
    <x v="0"/>
    <x v="2"/>
    <x v="0"/>
    <x v="11"/>
    <x v="1"/>
    <x v="5"/>
    <x v="10"/>
    <x v="7"/>
    <x v="0"/>
    <x v="0"/>
    <x v="1"/>
    <x v="0"/>
    <x v="0"/>
    <x v="0"/>
    <x v="181"/>
    <x v="187"/>
    <x v="1"/>
    <x v="3"/>
    <x v="1"/>
    <x v="3"/>
    <x v="3"/>
    <x v="2"/>
    <x v="3"/>
    <x v="162"/>
    <x v="0"/>
  </r>
  <r>
    <x v="0"/>
    <x v="0"/>
    <x v="0"/>
    <x v="2"/>
    <x v="0"/>
    <x v="11"/>
    <x v="1"/>
    <x v="5"/>
    <x v="13"/>
    <x v="27"/>
    <x v="0"/>
    <x v="0"/>
    <x v="1"/>
    <x v="0"/>
    <x v="0"/>
    <x v="0"/>
    <x v="90"/>
    <x v="93"/>
    <x v="1"/>
    <x v="1"/>
    <x v="1"/>
    <x v="1"/>
    <x v="9"/>
    <x v="2"/>
    <x v="9"/>
    <x v="48"/>
    <x v="0"/>
  </r>
  <r>
    <x v="0"/>
    <x v="0"/>
    <x v="0"/>
    <x v="2"/>
    <x v="0"/>
    <x v="12"/>
    <x v="1"/>
    <x v="4"/>
    <x v="5"/>
    <x v="13"/>
    <x v="0"/>
    <x v="0"/>
    <x v="1"/>
    <x v="0"/>
    <x v="0"/>
    <x v="4"/>
    <x v="35"/>
    <x v="37"/>
    <x v="1"/>
    <x v="15"/>
    <x v="1"/>
    <x v="15"/>
    <x v="18"/>
    <x v="2"/>
    <x v="18"/>
    <x v="178"/>
    <x v="0"/>
  </r>
  <r>
    <x v="0"/>
    <x v="0"/>
    <x v="0"/>
    <x v="2"/>
    <x v="0"/>
    <x v="12"/>
    <x v="1"/>
    <x v="4"/>
    <x v="8"/>
    <x v="10"/>
    <x v="0"/>
    <x v="0"/>
    <x v="1"/>
    <x v="0"/>
    <x v="0"/>
    <x v="3"/>
    <x v="115"/>
    <x v="118"/>
    <x v="1"/>
    <x v="12"/>
    <x v="1"/>
    <x v="12"/>
    <x v="13"/>
    <x v="2"/>
    <x v="13"/>
    <x v="179"/>
    <x v="0"/>
  </r>
  <r>
    <x v="0"/>
    <x v="0"/>
    <x v="0"/>
    <x v="2"/>
    <x v="0"/>
    <x v="12"/>
    <x v="1"/>
    <x v="4"/>
    <x v="10"/>
    <x v="19"/>
    <x v="0"/>
    <x v="0"/>
    <x v="1"/>
    <x v="0"/>
    <x v="0"/>
    <x v="0"/>
    <x v="132"/>
    <x v="135"/>
    <x v="1"/>
    <x v="6"/>
    <x v="1"/>
    <x v="6"/>
    <x v="7"/>
    <x v="2"/>
    <x v="7"/>
    <x v="69"/>
    <x v="0"/>
  </r>
  <r>
    <x v="0"/>
    <x v="0"/>
    <x v="0"/>
    <x v="2"/>
    <x v="0"/>
    <x v="12"/>
    <x v="1"/>
    <x v="4"/>
    <x v="10"/>
    <x v="3"/>
    <x v="0"/>
    <x v="0"/>
    <x v="1"/>
    <x v="0"/>
    <x v="0"/>
    <x v="0"/>
    <x v="175"/>
    <x v="180"/>
    <x v="1"/>
    <x v="6"/>
    <x v="1"/>
    <x v="6"/>
    <x v="8"/>
    <x v="2"/>
    <x v="8"/>
    <x v="148"/>
    <x v="0"/>
  </r>
  <r>
    <x v="0"/>
    <x v="0"/>
    <x v="0"/>
    <x v="2"/>
    <x v="0"/>
    <x v="12"/>
    <x v="1"/>
    <x v="4"/>
    <x v="10"/>
    <x v="4"/>
    <x v="0"/>
    <x v="0"/>
    <x v="1"/>
    <x v="0"/>
    <x v="0"/>
    <x v="0"/>
    <x v="95"/>
    <x v="98"/>
    <x v="1"/>
    <x v="5"/>
    <x v="1"/>
    <x v="5"/>
    <x v="6"/>
    <x v="2"/>
    <x v="6"/>
    <x v="37"/>
    <x v="0"/>
  </r>
  <r>
    <x v="0"/>
    <x v="0"/>
    <x v="0"/>
    <x v="2"/>
    <x v="0"/>
    <x v="12"/>
    <x v="1"/>
    <x v="4"/>
    <x v="10"/>
    <x v="6"/>
    <x v="0"/>
    <x v="0"/>
    <x v="1"/>
    <x v="0"/>
    <x v="0"/>
    <x v="0"/>
    <x v="168"/>
    <x v="173"/>
    <x v="1"/>
    <x v="4"/>
    <x v="1"/>
    <x v="4"/>
    <x v="4"/>
    <x v="2"/>
    <x v="4"/>
    <x v="129"/>
    <x v="0"/>
  </r>
  <r>
    <x v="0"/>
    <x v="0"/>
    <x v="0"/>
    <x v="2"/>
    <x v="0"/>
    <x v="12"/>
    <x v="1"/>
    <x v="4"/>
    <x v="10"/>
    <x v="7"/>
    <x v="0"/>
    <x v="0"/>
    <x v="1"/>
    <x v="0"/>
    <x v="0"/>
    <x v="0"/>
    <x v="158"/>
    <x v="162"/>
    <x v="1"/>
    <x v="3"/>
    <x v="1"/>
    <x v="3"/>
    <x v="3"/>
    <x v="2"/>
    <x v="3"/>
    <x v="113"/>
    <x v="0"/>
  </r>
  <r>
    <x v="0"/>
    <x v="0"/>
    <x v="0"/>
    <x v="2"/>
    <x v="0"/>
    <x v="12"/>
    <x v="1"/>
    <x v="4"/>
    <x v="10"/>
    <x v="8"/>
    <x v="0"/>
    <x v="0"/>
    <x v="1"/>
    <x v="0"/>
    <x v="0"/>
    <x v="0"/>
    <x v="187"/>
    <x v="194"/>
    <x v="1"/>
    <x v="2"/>
    <x v="1"/>
    <x v="2"/>
    <x v="2"/>
    <x v="2"/>
    <x v="2"/>
    <x v="182"/>
    <x v="0"/>
  </r>
  <r>
    <x v="0"/>
    <x v="0"/>
    <x v="0"/>
    <x v="2"/>
    <x v="0"/>
    <x v="12"/>
    <x v="1"/>
    <x v="4"/>
    <x v="13"/>
    <x v="27"/>
    <x v="0"/>
    <x v="0"/>
    <x v="1"/>
    <x v="0"/>
    <x v="0"/>
    <x v="0"/>
    <x v="131"/>
    <x v="134"/>
    <x v="1"/>
    <x v="1"/>
    <x v="1"/>
    <x v="1"/>
    <x v="9"/>
    <x v="2"/>
    <x v="9"/>
    <x v="82"/>
    <x v="0"/>
  </r>
  <r>
    <x v="0"/>
    <x v="0"/>
    <x v="0"/>
    <x v="2"/>
    <x v="0"/>
    <x v="12"/>
    <x v="1"/>
    <x v="6"/>
    <x v="5"/>
    <x v="13"/>
    <x v="0"/>
    <x v="0"/>
    <x v="1"/>
    <x v="0"/>
    <x v="0"/>
    <x v="4"/>
    <x v="44"/>
    <x v="45"/>
    <x v="1"/>
    <x v="15"/>
    <x v="1"/>
    <x v="15"/>
    <x v="18"/>
    <x v="2"/>
    <x v="18"/>
    <x v="191"/>
    <x v="0"/>
  </r>
  <r>
    <x v="0"/>
    <x v="0"/>
    <x v="0"/>
    <x v="2"/>
    <x v="0"/>
    <x v="12"/>
    <x v="1"/>
    <x v="6"/>
    <x v="8"/>
    <x v="10"/>
    <x v="0"/>
    <x v="0"/>
    <x v="1"/>
    <x v="0"/>
    <x v="0"/>
    <x v="3"/>
    <x v="127"/>
    <x v="130"/>
    <x v="1"/>
    <x v="12"/>
    <x v="1"/>
    <x v="12"/>
    <x v="13"/>
    <x v="2"/>
    <x v="13"/>
    <x v="184"/>
    <x v="0"/>
  </r>
  <r>
    <x v="0"/>
    <x v="0"/>
    <x v="0"/>
    <x v="2"/>
    <x v="0"/>
    <x v="12"/>
    <x v="1"/>
    <x v="6"/>
    <x v="10"/>
    <x v="3"/>
    <x v="0"/>
    <x v="0"/>
    <x v="1"/>
    <x v="0"/>
    <x v="0"/>
    <x v="0"/>
    <x v="192"/>
    <x v="199"/>
    <x v="1"/>
    <x v="6"/>
    <x v="1"/>
    <x v="6"/>
    <x v="8"/>
    <x v="2"/>
    <x v="8"/>
    <x v="193"/>
    <x v="0"/>
  </r>
  <r>
    <x v="0"/>
    <x v="0"/>
    <x v="0"/>
    <x v="2"/>
    <x v="0"/>
    <x v="12"/>
    <x v="1"/>
    <x v="6"/>
    <x v="10"/>
    <x v="4"/>
    <x v="0"/>
    <x v="0"/>
    <x v="1"/>
    <x v="0"/>
    <x v="0"/>
    <x v="0"/>
    <x v="67"/>
    <x v="68"/>
    <x v="1"/>
    <x v="5"/>
    <x v="1"/>
    <x v="5"/>
    <x v="6"/>
    <x v="2"/>
    <x v="6"/>
    <x v="11"/>
    <x v="0"/>
  </r>
  <r>
    <x v="0"/>
    <x v="0"/>
    <x v="0"/>
    <x v="2"/>
    <x v="0"/>
    <x v="12"/>
    <x v="1"/>
    <x v="8"/>
    <x v="5"/>
    <x v="13"/>
    <x v="0"/>
    <x v="0"/>
    <x v="1"/>
    <x v="0"/>
    <x v="0"/>
    <x v="4"/>
    <x v="22"/>
    <x v="22"/>
    <x v="1"/>
    <x v="15"/>
    <x v="1"/>
    <x v="15"/>
    <x v="18"/>
    <x v="2"/>
    <x v="18"/>
    <x v="153"/>
    <x v="0"/>
  </r>
  <r>
    <x v="0"/>
    <x v="0"/>
    <x v="0"/>
    <x v="2"/>
    <x v="0"/>
    <x v="12"/>
    <x v="1"/>
    <x v="8"/>
    <x v="8"/>
    <x v="10"/>
    <x v="0"/>
    <x v="0"/>
    <x v="1"/>
    <x v="0"/>
    <x v="0"/>
    <x v="3"/>
    <x v="66"/>
    <x v="67"/>
    <x v="1"/>
    <x v="12"/>
    <x v="1"/>
    <x v="12"/>
    <x v="13"/>
    <x v="2"/>
    <x v="13"/>
    <x v="127"/>
    <x v="0"/>
  </r>
  <r>
    <x v="0"/>
    <x v="0"/>
    <x v="0"/>
    <x v="2"/>
    <x v="0"/>
    <x v="12"/>
    <x v="1"/>
    <x v="8"/>
    <x v="10"/>
    <x v="3"/>
    <x v="0"/>
    <x v="0"/>
    <x v="1"/>
    <x v="0"/>
    <x v="0"/>
    <x v="0"/>
    <x v="94"/>
    <x v="97"/>
    <x v="1"/>
    <x v="6"/>
    <x v="1"/>
    <x v="6"/>
    <x v="8"/>
    <x v="2"/>
    <x v="8"/>
    <x v="39"/>
    <x v="0"/>
  </r>
  <r>
    <x v="0"/>
    <x v="0"/>
    <x v="0"/>
    <x v="2"/>
    <x v="0"/>
    <x v="12"/>
    <x v="1"/>
    <x v="8"/>
    <x v="10"/>
    <x v="4"/>
    <x v="0"/>
    <x v="0"/>
    <x v="1"/>
    <x v="0"/>
    <x v="0"/>
    <x v="0"/>
    <x v="148"/>
    <x v="151"/>
    <x v="1"/>
    <x v="5"/>
    <x v="1"/>
    <x v="5"/>
    <x v="6"/>
    <x v="2"/>
    <x v="6"/>
    <x v="95"/>
    <x v="0"/>
  </r>
  <r>
    <x v="0"/>
    <x v="0"/>
    <x v="0"/>
    <x v="2"/>
    <x v="0"/>
    <x v="12"/>
    <x v="1"/>
    <x v="8"/>
    <x v="10"/>
    <x v="5"/>
    <x v="0"/>
    <x v="0"/>
    <x v="1"/>
    <x v="0"/>
    <x v="0"/>
    <x v="0"/>
    <x v="160"/>
    <x v="164"/>
    <x v="1"/>
    <x v="4"/>
    <x v="1"/>
    <x v="4"/>
    <x v="5"/>
    <x v="2"/>
    <x v="5"/>
    <x v="117"/>
    <x v="0"/>
  </r>
  <r>
    <x v="0"/>
    <x v="0"/>
    <x v="0"/>
    <x v="2"/>
    <x v="0"/>
    <x v="12"/>
    <x v="1"/>
    <x v="8"/>
    <x v="10"/>
    <x v="7"/>
    <x v="0"/>
    <x v="0"/>
    <x v="1"/>
    <x v="0"/>
    <x v="0"/>
    <x v="0"/>
    <x v="139"/>
    <x v="142"/>
    <x v="1"/>
    <x v="3"/>
    <x v="1"/>
    <x v="3"/>
    <x v="3"/>
    <x v="2"/>
    <x v="3"/>
    <x v="83"/>
    <x v="0"/>
  </r>
  <r>
    <x v="0"/>
    <x v="0"/>
    <x v="0"/>
    <x v="2"/>
    <x v="0"/>
    <x v="12"/>
    <x v="1"/>
    <x v="8"/>
    <x v="13"/>
    <x v="27"/>
    <x v="0"/>
    <x v="0"/>
    <x v="1"/>
    <x v="0"/>
    <x v="0"/>
    <x v="0"/>
    <x v="71"/>
    <x v="73"/>
    <x v="1"/>
    <x v="1"/>
    <x v="1"/>
    <x v="1"/>
    <x v="9"/>
    <x v="2"/>
    <x v="9"/>
    <x v="33"/>
    <x v="0"/>
  </r>
  <r>
    <x v="0"/>
    <x v="0"/>
    <x v="0"/>
    <x v="2"/>
    <x v="0"/>
    <x v="12"/>
    <x v="1"/>
    <x v="7"/>
    <x v="5"/>
    <x v="13"/>
    <x v="0"/>
    <x v="0"/>
    <x v="1"/>
    <x v="0"/>
    <x v="0"/>
    <x v="4"/>
    <x v="4"/>
    <x v="4"/>
    <x v="1"/>
    <x v="15"/>
    <x v="1"/>
    <x v="15"/>
    <x v="18"/>
    <x v="2"/>
    <x v="18"/>
    <x v="75"/>
    <x v="0"/>
  </r>
  <r>
    <x v="0"/>
    <x v="0"/>
    <x v="0"/>
    <x v="2"/>
    <x v="0"/>
    <x v="12"/>
    <x v="1"/>
    <x v="7"/>
    <x v="8"/>
    <x v="10"/>
    <x v="0"/>
    <x v="0"/>
    <x v="1"/>
    <x v="0"/>
    <x v="0"/>
    <x v="3"/>
    <x v="45"/>
    <x v="46"/>
    <x v="1"/>
    <x v="12"/>
    <x v="1"/>
    <x v="12"/>
    <x v="13"/>
    <x v="2"/>
    <x v="13"/>
    <x v="93"/>
    <x v="0"/>
  </r>
  <r>
    <x v="0"/>
    <x v="0"/>
    <x v="0"/>
    <x v="2"/>
    <x v="0"/>
    <x v="12"/>
    <x v="1"/>
    <x v="7"/>
    <x v="10"/>
    <x v="19"/>
    <x v="0"/>
    <x v="0"/>
    <x v="1"/>
    <x v="0"/>
    <x v="0"/>
    <x v="0"/>
    <x v="40"/>
    <x v="41"/>
    <x v="1"/>
    <x v="6"/>
    <x v="1"/>
    <x v="6"/>
    <x v="7"/>
    <x v="2"/>
    <x v="7"/>
    <x v="4"/>
    <x v="0"/>
  </r>
  <r>
    <x v="0"/>
    <x v="0"/>
    <x v="0"/>
    <x v="2"/>
    <x v="0"/>
    <x v="12"/>
    <x v="1"/>
    <x v="7"/>
    <x v="10"/>
    <x v="4"/>
    <x v="0"/>
    <x v="0"/>
    <x v="1"/>
    <x v="0"/>
    <x v="0"/>
    <x v="0"/>
    <x v="134"/>
    <x v="137"/>
    <x v="1"/>
    <x v="5"/>
    <x v="1"/>
    <x v="5"/>
    <x v="6"/>
    <x v="2"/>
    <x v="6"/>
    <x v="74"/>
    <x v="0"/>
  </r>
  <r>
    <x v="0"/>
    <x v="0"/>
    <x v="0"/>
    <x v="2"/>
    <x v="0"/>
    <x v="12"/>
    <x v="1"/>
    <x v="7"/>
    <x v="10"/>
    <x v="6"/>
    <x v="0"/>
    <x v="0"/>
    <x v="1"/>
    <x v="0"/>
    <x v="0"/>
    <x v="0"/>
    <x v="62"/>
    <x v="63"/>
    <x v="1"/>
    <x v="4"/>
    <x v="1"/>
    <x v="4"/>
    <x v="4"/>
    <x v="2"/>
    <x v="4"/>
    <x v="10"/>
    <x v="0"/>
  </r>
  <r>
    <x v="0"/>
    <x v="0"/>
    <x v="0"/>
    <x v="2"/>
    <x v="0"/>
    <x v="12"/>
    <x v="1"/>
    <x v="7"/>
    <x v="13"/>
    <x v="27"/>
    <x v="0"/>
    <x v="0"/>
    <x v="1"/>
    <x v="0"/>
    <x v="0"/>
    <x v="0"/>
    <x v="28"/>
    <x v="29"/>
    <x v="1"/>
    <x v="1"/>
    <x v="1"/>
    <x v="1"/>
    <x v="9"/>
    <x v="2"/>
    <x v="9"/>
    <x v="3"/>
    <x v="0"/>
  </r>
  <r>
    <x v="0"/>
    <x v="0"/>
    <x v="0"/>
    <x v="2"/>
    <x v="0"/>
    <x v="12"/>
    <x v="1"/>
    <x v="5"/>
    <x v="5"/>
    <x v="13"/>
    <x v="0"/>
    <x v="0"/>
    <x v="1"/>
    <x v="0"/>
    <x v="0"/>
    <x v="4"/>
    <x v="29"/>
    <x v="35"/>
    <x v="1"/>
    <x v="15"/>
    <x v="1"/>
    <x v="15"/>
    <x v="18"/>
    <x v="2"/>
    <x v="18"/>
    <x v="165"/>
    <x v="0"/>
  </r>
  <r>
    <x v="0"/>
    <x v="0"/>
    <x v="0"/>
    <x v="2"/>
    <x v="0"/>
    <x v="12"/>
    <x v="1"/>
    <x v="5"/>
    <x v="8"/>
    <x v="10"/>
    <x v="0"/>
    <x v="0"/>
    <x v="1"/>
    <x v="0"/>
    <x v="0"/>
    <x v="3"/>
    <x v="76"/>
    <x v="90"/>
    <x v="1"/>
    <x v="12"/>
    <x v="1"/>
    <x v="12"/>
    <x v="13"/>
    <x v="2"/>
    <x v="13"/>
    <x v="140"/>
    <x v="0"/>
  </r>
  <r>
    <x v="0"/>
    <x v="0"/>
    <x v="0"/>
    <x v="2"/>
    <x v="0"/>
    <x v="12"/>
    <x v="1"/>
    <x v="5"/>
    <x v="10"/>
    <x v="3"/>
    <x v="0"/>
    <x v="0"/>
    <x v="1"/>
    <x v="0"/>
    <x v="0"/>
    <x v="0"/>
    <x v="159"/>
    <x v="172"/>
    <x v="1"/>
    <x v="6"/>
    <x v="1"/>
    <x v="6"/>
    <x v="8"/>
    <x v="2"/>
    <x v="8"/>
    <x v="120"/>
    <x v="0"/>
  </r>
  <r>
    <x v="0"/>
    <x v="0"/>
    <x v="0"/>
    <x v="2"/>
    <x v="0"/>
    <x v="12"/>
    <x v="1"/>
    <x v="5"/>
    <x v="10"/>
    <x v="7"/>
    <x v="0"/>
    <x v="0"/>
    <x v="1"/>
    <x v="0"/>
    <x v="0"/>
    <x v="0"/>
    <x v="181"/>
    <x v="192"/>
    <x v="1"/>
    <x v="3"/>
    <x v="1"/>
    <x v="3"/>
    <x v="3"/>
    <x v="2"/>
    <x v="3"/>
    <x v="162"/>
    <x v="0"/>
  </r>
  <r>
    <x v="0"/>
    <x v="0"/>
    <x v="0"/>
    <x v="2"/>
    <x v="0"/>
    <x v="12"/>
    <x v="1"/>
    <x v="5"/>
    <x v="13"/>
    <x v="27"/>
    <x v="0"/>
    <x v="0"/>
    <x v="1"/>
    <x v="0"/>
    <x v="0"/>
    <x v="0"/>
    <x v="98"/>
    <x v="101"/>
    <x v="1"/>
    <x v="1"/>
    <x v="1"/>
    <x v="1"/>
    <x v="9"/>
    <x v="2"/>
    <x v="9"/>
    <x v="53"/>
    <x v="0"/>
  </r>
  <r>
    <x v="0"/>
    <x v="0"/>
    <x v="0"/>
    <x v="2"/>
    <x v="0"/>
    <x v="13"/>
    <x v="1"/>
    <x v="4"/>
    <x v="5"/>
    <x v="13"/>
    <x v="0"/>
    <x v="0"/>
    <x v="1"/>
    <x v="0"/>
    <x v="0"/>
    <x v="4"/>
    <x v="25"/>
    <x v="26"/>
    <x v="1"/>
    <x v="15"/>
    <x v="1"/>
    <x v="15"/>
    <x v="18"/>
    <x v="2"/>
    <x v="18"/>
    <x v="155"/>
    <x v="0"/>
  </r>
  <r>
    <x v="0"/>
    <x v="0"/>
    <x v="0"/>
    <x v="2"/>
    <x v="0"/>
    <x v="13"/>
    <x v="1"/>
    <x v="4"/>
    <x v="8"/>
    <x v="10"/>
    <x v="0"/>
    <x v="0"/>
    <x v="1"/>
    <x v="0"/>
    <x v="0"/>
    <x v="3"/>
    <x v="99"/>
    <x v="102"/>
    <x v="1"/>
    <x v="12"/>
    <x v="1"/>
    <x v="12"/>
    <x v="13"/>
    <x v="2"/>
    <x v="13"/>
    <x v="156"/>
    <x v="0"/>
  </r>
  <r>
    <x v="0"/>
    <x v="0"/>
    <x v="0"/>
    <x v="2"/>
    <x v="0"/>
    <x v="13"/>
    <x v="1"/>
    <x v="4"/>
    <x v="10"/>
    <x v="19"/>
    <x v="0"/>
    <x v="0"/>
    <x v="1"/>
    <x v="0"/>
    <x v="0"/>
    <x v="0"/>
    <x v="121"/>
    <x v="124"/>
    <x v="1"/>
    <x v="6"/>
    <x v="1"/>
    <x v="6"/>
    <x v="7"/>
    <x v="2"/>
    <x v="7"/>
    <x v="58"/>
    <x v="0"/>
  </r>
  <r>
    <x v="0"/>
    <x v="0"/>
    <x v="0"/>
    <x v="2"/>
    <x v="0"/>
    <x v="13"/>
    <x v="1"/>
    <x v="4"/>
    <x v="10"/>
    <x v="3"/>
    <x v="0"/>
    <x v="0"/>
    <x v="1"/>
    <x v="0"/>
    <x v="0"/>
    <x v="0"/>
    <x v="162"/>
    <x v="166"/>
    <x v="1"/>
    <x v="6"/>
    <x v="1"/>
    <x v="6"/>
    <x v="8"/>
    <x v="2"/>
    <x v="8"/>
    <x v="123"/>
    <x v="0"/>
  </r>
  <r>
    <x v="0"/>
    <x v="0"/>
    <x v="0"/>
    <x v="2"/>
    <x v="0"/>
    <x v="13"/>
    <x v="1"/>
    <x v="4"/>
    <x v="10"/>
    <x v="4"/>
    <x v="0"/>
    <x v="0"/>
    <x v="1"/>
    <x v="0"/>
    <x v="0"/>
    <x v="0"/>
    <x v="93"/>
    <x v="96"/>
    <x v="1"/>
    <x v="5"/>
    <x v="1"/>
    <x v="5"/>
    <x v="6"/>
    <x v="2"/>
    <x v="6"/>
    <x v="36"/>
    <x v="0"/>
  </r>
  <r>
    <x v="0"/>
    <x v="0"/>
    <x v="0"/>
    <x v="2"/>
    <x v="0"/>
    <x v="13"/>
    <x v="1"/>
    <x v="4"/>
    <x v="10"/>
    <x v="6"/>
    <x v="0"/>
    <x v="0"/>
    <x v="1"/>
    <x v="0"/>
    <x v="0"/>
    <x v="0"/>
    <x v="153"/>
    <x v="156"/>
    <x v="1"/>
    <x v="4"/>
    <x v="1"/>
    <x v="4"/>
    <x v="4"/>
    <x v="2"/>
    <x v="4"/>
    <x v="103"/>
    <x v="0"/>
  </r>
  <r>
    <x v="0"/>
    <x v="0"/>
    <x v="0"/>
    <x v="2"/>
    <x v="0"/>
    <x v="13"/>
    <x v="1"/>
    <x v="4"/>
    <x v="10"/>
    <x v="7"/>
    <x v="0"/>
    <x v="0"/>
    <x v="1"/>
    <x v="0"/>
    <x v="0"/>
    <x v="0"/>
    <x v="165"/>
    <x v="169"/>
    <x v="1"/>
    <x v="3"/>
    <x v="1"/>
    <x v="3"/>
    <x v="3"/>
    <x v="2"/>
    <x v="3"/>
    <x v="119"/>
    <x v="0"/>
  </r>
  <r>
    <x v="0"/>
    <x v="0"/>
    <x v="0"/>
    <x v="2"/>
    <x v="0"/>
    <x v="13"/>
    <x v="1"/>
    <x v="4"/>
    <x v="10"/>
    <x v="8"/>
    <x v="0"/>
    <x v="0"/>
    <x v="1"/>
    <x v="0"/>
    <x v="0"/>
    <x v="0"/>
    <x v="180"/>
    <x v="186"/>
    <x v="1"/>
    <x v="2"/>
    <x v="1"/>
    <x v="2"/>
    <x v="2"/>
    <x v="2"/>
    <x v="2"/>
    <x v="159"/>
    <x v="0"/>
  </r>
  <r>
    <x v="0"/>
    <x v="0"/>
    <x v="0"/>
    <x v="2"/>
    <x v="0"/>
    <x v="13"/>
    <x v="1"/>
    <x v="4"/>
    <x v="13"/>
    <x v="27"/>
    <x v="0"/>
    <x v="0"/>
    <x v="1"/>
    <x v="0"/>
    <x v="0"/>
    <x v="0"/>
    <x v="114"/>
    <x v="117"/>
    <x v="1"/>
    <x v="1"/>
    <x v="1"/>
    <x v="1"/>
    <x v="9"/>
    <x v="2"/>
    <x v="9"/>
    <x v="68"/>
    <x v="0"/>
  </r>
  <r>
    <x v="0"/>
    <x v="0"/>
    <x v="0"/>
    <x v="2"/>
    <x v="0"/>
    <x v="13"/>
    <x v="1"/>
    <x v="6"/>
    <x v="5"/>
    <x v="13"/>
    <x v="0"/>
    <x v="0"/>
    <x v="1"/>
    <x v="0"/>
    <x v="0"/>
    <x v="4"/>
    <x v="33"/>
    <x v="34"/>
    <x v="1"/>
    <x v="15"/>
    <x v="1"/>
    <x v="15"/>
    <x v="18"/>
    <x v="2"/>
    <x v="18"/>
    <x v="171"/>
    <x v="0"/>
  </r>
  <r>
    <x v="0"/>
    <x v="0"/>
    <x v="0"/>
    <x v="2"/>
    <x v="0"/>
    <x v="13"/>
    <x v="1"/>
    <x v="6"/>
    <x v="8"/>
    <x v="10"/>
    <x v="0"/>
    <x v="0"/>
    <x v="1"/>
    <x v="0"/>
    <x v="0"/>
    <x v="3"/>
    <x v="89"/>
    <x v="92"/>
    <x v="1"/>
    <x v="12"/>
    <x v="1"/>
    <x v="12"/>
    <x v="13"/>
    <x v="2"/>
    <x v="13"/>
    <x v="154"/>
    <x v="0"/>
  </r>
  <r>
    <x v="0"/>
    <x v="0"/>
    <x v="0"/>
    <x v="2"/>
    <x v="0"/>
    <x v="13"/>
    <x v="1"/>
    <x v="6"/>
    <x v="10"/>
    <x v="3"/>
    <x v="0"/>
    <x v="0"/>
    <x v="1"/>
    <x v="0"/>
    <x v="0"/>
    <x v="0"/>
    <x v="185"/>
    <x v="191"/>
    <x v="1"/>
    <x v="6"/>
    <x v="1"/>
    <x v="6"/>
    <x v="8"/>
    <x v="2"/>
    <x v="8"/>
    <x v="174"/>
    <x v="0"/>
  </r>
  <r>
    <x v="0"/>
    <x v="0"/>
    <x v="0"/>
    <x v="2"/>
    <x v="0"/>
    <x v="13"/>
    <x v="1"/>
    <x v="6"/>
    <x v="10"/>
    <x v="4"/>
    <x v="0"/>
    <x v="0"/>
    <x v="1"/>
    <x v="0"/>
    <x v="0"/>
    <x v="0"/>
    <x v="46"/>
    <x v="47"/>
    <x v="1"/>
    <x v="5"/>
    <x v="1"/>
    <x v="5"/>
    <x v="6"/>
    <x v="2"/>
    <x v="6"/>
    <x v="6"/>
    <x v="0"/>
  </r>
  <r>
    <x v="0"/>
    <x v="0"/>
    <x v="0"/>
    <x v="2"/>
    <x v="0"/>
    <x v="13"/>
    <x v="1"/>
    <x v="6"/>
    <x v="13"/>
    <x v="27"/>
    <x v="0"/>
    <x v="0"/>
    <x v="1"/>
    <x v="0"/>
    <x v="0"/>
    <x v="0"/>
    <x v="81"/>
    <x v="83"/>
    <x v="1"/>
    <x v="1"/>
    <x v="1"/>
    <x v="1"/>
    <x v="9"/>
    <x v="2"/>
    <x v="9"/>
    <x v="40"/>
    <x v="0"/>
  </r>
  <r>
    <x v="0"/>
    <x v="0"/>
    <x v="0"/>
    <x v="2"/>
    <x v="0"/>
    <x v="13"/>
    <x v="1"/>
    <x v="8"/>
    <x v="5"/>
    <x v="13"/>
    <x v="0"/>
    <x v="0"/>
    <x v="1"/>
    <x v="0"/>
    <x v="0"/>
    <x v="4"/>
    <x v="15"/>
    <x v="15"/>
    <x v="1"/>
    <x v="15"/>
    <x v="1"/>
    <x v="15"/>
    <x v="18"/>
    <x v="2"/>
    <x v="18"/>
    <x v="132"/>
    <x v="0"/>
  </r>
  <r>
    <x v="0"/>
    <x v="0"/>
    <x v="0"/>
    <x v="2"/>
    <x v="0"/>
    <x v="13"/>
    <x v="1"/>
    <x v="8"/>
    <x v="8"/>
    <x v="10"/>
    <x v="0"/>
    <x v="0"/>
    <x v="1"/>
    <x v="0"/>
    <x v="0"/>
    <x v="3"/>
    <x v="50"/>
    <x v="51"/>
    <x v="1"/>
    <x v="12"/>
    <x v="1"/>
    <x v="12"/>
    <x v="13"/>
    <x v="2"/>
    <x v="13"/>
    <x v="106"/>
    <x v="0"/>
  </r>
  <r>
    <x v="0"/>
    <x v="0"/>
    <x v="0"/>
    <x v="2"/>
    <x v="0"/>
    <x v="13"/>
    <x v="1"/>
    <x v="8"/>
    <x v="10"/>
    <x v="3"/>
    <x v="0"/>
    <x v="0"/>
    <x v="1"/>
    <x v="0"/>
    <x v="0"/>
    <x v="0"/>
    <x v="79"/>
    <x v="81"/>
    <x v="1"/>
    <x v="6"/>
    <x v="1"/>
    <x v="6"/>
    <x v="8"/>
    <x v="2"/>
    <x v="8"/>
    <x v="22"/>
    <x v="0"/>
  </r>
  <r>
    <x v="0"/>
    <x v="0"/>
    <x v="0"/>
    <x v="2"/>
    <x v="0"/>
    <x v="13"/>
    <x v="1"/>
    <x v="8"/>
    <x v="10"/>
    <x v="4"/>
    <x v="0"/>
    <x v="0"/>
    <x v="1"/>
    <x v="0"/>
    <x v="0"/>
    <x v="0"/>
    <x v="138"/>
    <x v="141"/>
    <x v="1"/>
    <x v="5"/>
    <x v="1"/>
    <x v="5"/>
    <x v="6"/>
    <x v="2"/>
    <x v="6"/>
    <x v="84"/>
    <x v="0"/>
  </r>
  <r>
    <x v="0"/>
    <x v="0"/>
    <x v="0"/>
    <x v="2"/>
    <x v="0"/>
    <x v="13"/>
    <x v="1"/>
    <x v="8"/>
    <x v="10"/>
    <x v="5"/>
    <x v="0"/>
    <x v="0"/>
    <x v="1"/>
    <x v="0"/>
    <x v="0"/>
    <x v="0"/>
    <x v="150"/>
    <x v="153"/>
    <x v="1"/>
    <x v="4"/>
    <x v="1"/>
    <x v="4"/>
    <x v="5"/>
    <x v="2"/>
    <x v="5"/>
    <x v="99"/>
    <x v="0"/>
  </r>
  <r>
    <x v="0"/>
    <x v="0"/>
    <x v="0"/>
    <x v="2"/>
    <x v="0"/>
    <x v="13"/>
    <x v="1"/>
    <x v="8"/>
    <x v="10"/>
    <x v="7"/>
    <x v="0"/>
    <x v="0"/>
    <x v="1"/>
    <x v="0"/>
    <x v="0"/>
    <x v="0"/>
    <x v="133"/>
    <x v="136"/>
    <x v="1"/>
    <x v="3"/>
    <x v="1"/>
    <x v="3"/>
    <x v="3"/>
    <x v="2"/>
    <x v="3"/>
    <x v="71"/>
    <x v="0"/>
  </r>
  <r>
    <x v="0"/>
    <x v="0"/>
    <x v="0"/>
    <x v="2"/>
    <x v="0"/>
    <x v="13"/>
    <x v="1"/>
    <x v="8"/>
    <x v="13"/>
    <x v="27"/>
    <x v="0"/>
    <x v="0"/>
    <x v="1"/>
    <x v="0"/>
    <x v="0"/>
    <x v="0"/>
    <x v="55"/>
    <x v="56"/>
    <x v="1"/>
    <x v="1"/>
    <x v="1"/>
    <x v="1"/>
    <x v="9"/>
    <x v="2"/>
    <x v="9"/>
    <x v="16"/>
    <x v="0"/>
  </r>
  <r>
    <x v="0"/>
    <x v="0"/>
    <x v="0"/>
    <x v="2"/>
    <x v="0"/>
    <x v="13"/>
    <x v="1"/>
    <x v="5"/>
    <x v="5"/>
    <x v="13"/>
    <x v="0"/>
    <x v="0"/>
    <x v="1"/>
    <x v="0"/>
    <x v="0"/>
    <x v="4"/>
    <x v="29"/>
    <x v="25"/>
    <x v="1"/>
    <x v="15"/>
    <x v="1"/>
    <x v="15"/>
    <x v="18"/>
    <x v="2"/>
    <x v="18"/>
    <x v="165"/>
    <x v="0"/>
  </r>
  <r>
    <x v="0"/>
    <x v="0"/>
    <x v="0"/>
    <x v="2"/>
    <x v="0"/>
    <x v="13"/>
    <x v="1"/>
    <x v="5"/>
    <x v="8"/>
    <x v="10"/>
    <x v="0"/>
    <x v="0"/>
    <x v="1"/>
    <x v="0"/>
    <x v="0"/>
    <x v="3"/>
    <x v="76"/>
    <x v="69"/>
    <x v="1"/>
    <x v="12"/>
    <x v="1"/>
    <x v="12"/>
    <x v="13"/>
    <x v="2"/>
    <x v="13"/>
    <x v="140"/>
    <x v="0"/>
  </r>
  <r>
    <x v="0"/>
    <x v="0"/>
    <x v="0"/>
    <x v="2"/>
    <x v="0"/>
    <x v="13"/>
    <x v="1"/>
    <x v="5"/>
    <x v="10"/>
    <x v="3"/>
    <x v="0"/>
    <x v="0"/>
    <x v="1"/>
    <x v="0"/>
    <x v="0"/>
    <x v="0"/>
    <x v="159"/>
    <x v="158"/>
    <x v="1"/>
    <x v="6"/>
    <x v="1"/>
    <x v="6"/>
    <x v="8"/>
    <x v="2"/>
    <x v="8"/>
    <x v="120"/>
    <x v="0"/>
  </r>
  <r>
    <x v="0"/>
    <x v="0"/>
    <x v="0"/>
    <x v="2"/>
    <x v="0"/>
    <x v="13"/>
    <x v="1"/>
    <x v="5"/>
    <x v="10"/>
    <x v="7"/>
    <x v="0"/>
    <x v="0"/>
    <x v="1"/>
    <x v="0"/>
    <x v="0"/>
    <x v="0"/>
    <x v="181"/>
    <x v="185"/>
    <x v="1"/>
    <x v="3"/>
    <x v="1"/>
    <x v="3"/>
    <x v="3"/>
    <x v="2"/>
    <x v="3"/>
    <x v="162"/>
    <x v="0"/>
  </r>
  <r>
    <x v="0"/>
    <x v="0"/>
    <x v="0"/>
    <x v="2"/>
    <x v="0"/>
    <x v="13"/>
    <x v="1"/>
    <x v="5"/>
    <x v="13"/>
    <x v="27"/>
    <x v="0"/>
    <x v="0"/>
    <x v="1"/>
    <x v="0"/>
    <x v="0"/>
    <x v="0"/>
    <x v="86"/>
    <x v="88"/>
    <x v="1"/>
    <x v="1"/>
    <x v="1"/>
    <x v="1"/>
    <x v="9"/>
    <x v="2"/>
    <x v="9"/>
    <x v="43"/>
    <x v="0"/>
  </r>
  <r>
    <x v="0"/>
    <x v="0"/>
    <x v="0"/>
    <x v="2"/>
    <x v="0"/>
    <x v="13"/>
    <x v="1"/>
    <x v="1"/>
    <x v="5"/>
    <x v="13"/>
    <x v="0"/>
    <x v="0"/>
    <x v="1"/>
    <x v="0"/>
    <x v="0"/>
    <x v="4"/>
    <x v="11"/>
    <x v="11"/>
    <x v="1"/>
    <x v="15"/>
    <x v="1"/>
    <x v="15"/>
    <x v="18"/>
    <x v="2"/>
    <x v="18"/>
    <x v="118"/>
    <x v="0"/>
  </r>
  <r>
    <x v="0"/>
    <x v="0"/>
    <x v="0"/>
    <x v="2"/>
    <x v="0"/>
    <x v="13"/>
    <x v="1"/>
    <x v="1"/>
    <x v="8"/>
    <x v="10"/>
    <x v="0"/>
    <x v="0"/>
    <x v="1"/>
    <x v="0"/>
    <x v="0"/>
    <x v="3"/>
    <x v="53"/>
    <x v="54"/>
    <x v="1"/>
    <x v="12"/>
    <x v="1"/>
    <x v="12"/>
    <x v="13"/>
    <x v="2"/>
    <x v="13"/>
    <x v="112"/>
    <x v="0"/>
  </r>
  <r>
    <x v="0"/>
    <x v="0"/>
    <x v="0"/>
    <x v="2"/>
    <x v="0"/>
    <x v="13"/>
    <x v="1"/>
    <x v="1"/>
    <x v="10"/>
    <x v="3"/>
    <x v="0"/>
    <x v="0"/>
    <x v="1"/>
    <x v="0"/>
    <x v="0"/>
    <x v="0"/>
    <x v="112"/>
    <x v="115"/>
    <x v="1"/>
    <x v="6"/>
    <x v="1"/>
    <x v="6"/>
    <x v="8"/>
    <x v="2"/>
    <x v="8"/>
    <x v="52"/>
    <x v="0"/>
  </r>
  <r>
    <x v="0"/>
    <x v="0"/>
    <x v="0"/>
    <x v="2"/>
    <x v="0"/>
    <x v="13"/>
    <x v="1"/>
    <x v="1"/>
    <x v="10"/>
    <x v="4"/>
    <x v="0"/>
    <x v="0"/>
    <x v="1"/>
    <x v="0"/>
    <x v="0"/>
    <x v="0"/>
    <x v="179"/>
    <x v="184"/>
    <x v="1"/>
    <x v="5"/>
    <x v="1"/>
    <x v="5"/>
    <x v="6"/>
    <x v="2"/>
    <x v="6"/>
    <x v="152"/>
    <x v="0"/>
  </r>
  <r>
    <x v="0"/>
    <x v="0"/>
    <x v="0"/>
    <x v="2"/>
    <x v="0"/>
    <x v="13"/>
    <x v="1"/>
    <x v="1"/>
    <x v="10"/>
    <x v="6"/>
    <x v="0"/>
    <x v="0"/>
    <x v="1"/>
    <x v="0"/>
    <x v="0"/>
    <x v="0"/>
    <x v="119"/>
    <x v="122"/>
    <x v="1"/>
    <x v="4"/>
    <x v="1"/>
    <x v="4"/>
    <x v="4"/>
    <x v="2"/>
    <x v="4"/>
    <x v="54"/>
    <x v="0"/>
  </r>
  <r>
    <x v="0"/>
    <x v="0"/>
    <x v="0"/>
    <x v="2"/>
    <x v="0"/>
    <x v="13"/>
    <x v="1"/>
    <x v="1"/>
    <x v="13"/>
    <x v="27"/>
    <x v="0"/>
    <x v="0"/>
    <x v="1"/>
    <x v="0"/>
    <x v="0"/>
    <x v="0"/>
    <x v="68"/>
    <x v="70"/>
    <x v="1"/>
    <x v="1"/>
    <x v="1"/>
    <x v="1"/>
    <x v="9"/>
    <x v="2"/>
    <x v="9"/>
    <x v="29"/>
    <x v="0"/>
  </r>
  <r>
    <x v="0"/>
    <x v="0"/>
    <x v="0"/>
    <x v="2"/>
    <x v="0"/>
    <x v="14"/>
    <x v="1"/>
    <x v="4"/>
    <x v="5"/>
    <x v="13"/>
    <x v="0"/>
    <x v="0"/>
    <x v="1"/>
    <x v="0"/>
    <x v="0"/>
    <x v="4"/>
    <x v="8"/>
    <x v="8"/>
    <x v="1"/>
    <x v="15"/>
    <x v="1"/>
    <x v="15"/>
    <x v="18"/>
    <x v="2"/>
    <x v="18"/>
    <x v="111"/>
    <x v="0"/>
  </r>
  <r>
    <x v="0"/>
    <x v="0"/>
    <x v="0"/>
    <x v="2"/>
    <x v="0"/>
    <x v="14"/>
    <x v="1"/>
    <x v="4"/>
    <x v="8"/>
    <x v="10"/>
    <x v="0"/>
    <x v="0"/>
    <x v="1"/>
    <x v="0"/>
    <x v="0"/>
    <x v="3"/>
    <x v="49"/>
    <x v="50"/>
    <x v="1"/>
    <x v="12"/>
    <x v="1"/>
    <x v="12"/>
    <x v="13"/>
    <x v="2"/>
    <x v="13"/>
    <x v="102"/>
    <x v="0"/>
  </r>
  <r>
    <x v="0"/>
    <x v="0"/>
    <x v="0"/>
    <x v="2"/>
    <x v="0"/>
    <x v="14"/>
    <x v="1"/>
    <x v="4"/>
    <x v="10"/>
    <x v="19"/>
    <x v="0"/>
    <x v="0"/>
    <x v="1"/>
    <x v="0"/>
    <x v="0"/>
    <x v="0"/>
    <x v="48"/>
    <x v="49"/>
    <x v="1"/>
    <x v="6"/>
    <x v="1"/>
    <x v="6"/>
    <x v="7"/>
    <x v="2"/>
    <x v="7"/>
    <x v="7"/>
    <x v="0"/>
  </r>
  <r>
    <x v="0"/>
    <x v="0"/>
    <x v="0"/>
    <x v="2"/>
    <x v="0"/>
    <x v="14"/>
    <x v="1"/>
    <x v="4"/>
    <x v="10"/>
    <x v="3"/>
    <x v="0"/>
    <x v="0"/>
    <x v="1"/>
    <x v="0"/>
    <x v="0"/>
    <x v="0"/>
    <x v="137"/>
    <x v="140"/>
    <x v="1"/>
    <x v="6"/>
    <x v="1"/>
    <x v="6"/>
    <x v="8"/>
    <x v="2"/>
    <x v="8"/>
    <x v="80"/>
    <x v="0"/>
  </r>
  <r>
    <x v="0"/>
    <x v="0"/>
    <x v="0"/>
    <x v="2"/>
    <x v="0"/>
    <x v="14"/>
    <x v="1"/>
    <x v="4"/>
    <x v="10"/>
    <x v="4"/>
    <x v="0"/>
    <x v="0"/>
    <x v="1"/>
    <x v="0"/>
    <x v="0"/>
    <x v="0"/>
    <x v="85"/>
    <x v="87"/>
    <x v="1"/>
    <x v="5"/>
    <x v="1"/>
    <x v="5"/>
    <x v="6"/>
    <x v="2"/>
    <x v="6"/>
    <x v="26"/>
    <x v="0"/>
  </r>
  <r>
    <x v="0"/>
    <x v="0"/>
    <x v="0"/>
    <x v="2"/>
    <x v="0"/>
    <x v="14"/>
    <x v="1"/>
    <x v="4"/>
    <x v="10"/>
    <x v="6"/>
    <x v="0"/>
    <x v="0"/>
    <x v="1"/>
    <x v="0"/>
    <x v="0"/>
    <x v="0"/>
    <x v="97"/>
    <x v="100"/>
    <x v="1"/>
    <x v="4"/>
    <x v="1"/>
    <x v="4"/>
    <x v="4"/>
    <x v="2"/>
    <x v="4"/>
    <x v="38"/>
    <x v="0"/>
  </r>
  <r>
    <x v="0"/>
    <x v="0"/>
    <x v="0"/>
    <x v="2"/>
    <x v="0"/>
    <x v="14"/>
    <x v="1"/>
    <x v="4"/>
    <x v="10"/>
    <x v="7"/>
    <x v="0"/>
    <x v="0"/>
    <x v="1"/>
    <x v="0"/>
    <x v="0"/>
    <x v="0"/>
    <x v="128"/>
    <x v="131"/>
    <x v="1"/>
    <x v="3"/>
    <x v="1"/>
    <x v="3"/>
    <x v="3"/>
    <x v="2"/>
    <x v="3"/>
    <x v="62"/>
    <x v="0"/>
  </r>
  <r>
    <x v="0"/>
    <x v="0"/>
    <x v="0"/>
    <x v="2"/>
    <x v="0"/>
    <x v="14"/>
    <x v="1"/>
    <x v="4"/>
    <x v="10"/>
    <x v="8"/>
    <x v="0"/>
    <x v="0"/>
    <x v="1"/>
    <x v="0"/>
    <x v="0"/>
    <x v="0"/>
    <x v="174"/>
    <x v="179"/>
    <x v="1"/>
    <x v="2"/>
    <x v="1"/>
    <x v="2"/>
    <x v="2"/>
    <x v="2"/>
    <x v="2"/>
    <x v="134"/>
    <x v="0"/>
  </r>
  <r>
    <x v="0"/>
    <x v="0"/>
    <x v="0"/>
    <x v="2"/>
    <x v="0"/>
    <x v="14"/>
    <x v="1"/>
    <x v="4"/>
    <x v="13"/>
    <x v="27"/>
    <x v="0"/>
    <x v="0"/>
    <x v="1"/>
    <x v="0"/>
    <x v="0"/>
    <x v="0"/>
    <x v="74"/>
    <x v="76"/>
    <x v="1"/>
    <x v="1"/>
    <x v="1"/>
    <x v="1"/>
    <x v="9"/>
    <x v="2"/>
    <x v="9"/>
    <x v="34"/>
    <x v="0"/>
  </r>
  <r>
    <x v="0"/>
    <x v="0"/>
    <x v="0"/>
    <x v="2"/>
    <x v="0"/>
    <x v="14"/>
    <x v="1"/>
    <x v="6"/>
    <x v="5"/>
    <x v="13"/>
    <x v="0"/>
    <x v="0"/>
    <x v="1"/>
    <x v="0"/>
    <x v="0"/>
    <x v="4"/>
    <x v="19"/>
    <x v="19"/>
    <x v="1"/>
    <x v="15"/>
    <x v="1"/>
    <x v="15"/>
    <x v="18"/>
    <x v="2"/>
    <x v="18"/>
    <x v="144"/>
    <x v="0"/>
  </r>
  <r>
    <x v="0"/>
    <x v="0"/>
    <x v="0"/>
    <x v="2"/>
    <x v="0"/>
    <x v="14"/>
    <x v="1"/>
    <x v="6"/>
    <x v="8"/>
    <x v="10"/>
    <x v="0"/>
    <x v="0"/>
    <x v="1"/>
    <x v="0"/>
    <x v="0"/>
    <x v="3"/>
    <x v="63"/>
    <x v="64"/>
    <x v="1"/>
    <x v="12"/>
    <x v="1"/>
    <x v="12"/>
    <x v="13"/>
    <x v="2"/>
    <x v="13"/>
    <x v="122"/>
    <x v="0"/>
  </r>
  <r>
    <x v="0"/>
    <x v="0"/>
    <x v="0"/>
    <x v="2"/>
    <x v="0"/>
    <x v="14"/>
    <x v="1"/>
    <x v="6"/>
    <x v="10"/>
    <x v="3"/>
    <x v="0"/>
    <x v="0"/>
    <x v="1"/>
    <x v="0"/>
    <x v="0"/>
    <x v="0"/>
    <x v="177"/>
    <x v="182"/>
    <x v="1"/>
    <x v="6"/>
    <x v="1"/>
    <x v="6"/>
    <x v="8"/>
    <x v="2"/>
    <x v="8"/>
    <x v="149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C33" firstHeaderRow="1" firstDataRow="1" firstDataCol="2"/>
  <pivotFields count="27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9"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dataField="1" compact="0" showAll="0" outline="0"/>
    <pivotField compact="0" showAll="0"/>
    <pivotField compact="0" showAll="0" outline="0"/>
    <pivotField compact="0" showAll="0"/>
    <pivotField compact="0" showAll="0"/>
    <pivotField compact="0" showAll="0" outline="0"/>
    <pivotField compact="0" showAll="0"/>
    <pivotField compact="0" showAll="0"/>
    <pivotField compact="0" showAll="0" outline="0"/>
    <pivotField compact="0" showAll="0" outline="0"/>
    <pivotField compact="0" showAll="0" outline="0"/>
  </pivotFields>
  <rowFields count="2">
    <field x="9"/>
    <field x="15"/>
  </rowFields>
  <dataFields count="1">
    <dataField name="Sum of Quantity" fld="16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18.14"/>
    <col collapsed="false" customWidth="true" hidden="false" outlineLevel="0" max="3" min="3" style="1" width="21.84"/>
    <col collapsed="false" customWidth="true" hidden="false" outlineLevel="0" max="4" min="4" style="1" width="21.14"/>
    <col collapsed="false" customWidth="false" hidden="false" outlineLevel="0" max="16384" min="5" style="2" width="9.14"/>
  </cols>
  <sheetData>
    <row r="1" s="4" customFormat="true" ht="22.5" hidden="false" customHeight="true" outlineLevel="0" collapsed="false">
      <c r="A1" s="3" t="s">
        <v>0</v>
      </c>
      <c r="B1" s="3"/>
      <c r="C1" s="3"/>
      <c r="D1" s="3"/>
    </row>
    <row r="2" customFormat="false" ht="12.75" hidden="false" customHeight="true" outlineLevel="0" collapsed="false">
      <c r="A2" s="5" t="s">
        <v>1</v>
      </c>
      <c r="B2" s="5" t="s">
        <v>2</v>
      </c>
      <c r="C2" s="5" t="s">
        <v>3</v>
      </c>
      <c r="D2" s="5" t="s">
        <v>0</v>
      </c>
    </row>
    <row r="3" customFormat="false" ht="12" hidden="false" customHeight="true" outlineLevel="0" collapsed="false">
      <c r="A3" s="6" t="s">
        <v>4</v>
      </c>
      <c r="B3" s="7" t="s">
        <v>5</v>
      </c>
      <c r="C3" s="6" t="s">
        <v>6</v>
      </c>
      <c r="D3" s="6" t="str">
        <f aca="false">CONCATENATE(A3,"-",B3,"-",C3)</f>
        <v>BA-01-U01</v>
      </c>
    </row>
    <row r="4" customFormat="false" ht="12" hidden="false" customHeight="true" outlineLevel="0" collapsed="false">
      <c r="A4" s="6" t="s">
        <v>4</v>
      </c>
      <c r="B4" s="7" t="s">
        <v>7</v>
      </c>
      <c r="C4" s="6" t="s">
        <v>8</v>
      </c>
      <c r="D4" s="6" t="str">
        <f aca="false">CONCATENATE(A4,"-",B4,"-",C4)</f>
        <v>BA-02-B02</v>
      </c>
    </row>
    <row r="5" customFormat="false" ht="12" hidden="false" customHeight="true" outlineLevel="0" collapsed="false">
      <c r="A5" s="6" t="s">
        <v>4</v>
      </c>
      <c r="B5" s="7" t="s">
        <v>9</v>
      </c>
      <c r="C5" s="6" t="s">
        <v>10</v>
      </c>
      <c r="D5" s="6" t="str">
        <f aca="false">CONCATENATE(A5,"-",B5,"-",C5)</f>
        <v>BA-03-B01</v>
      </c>
    </row>
    <row r="6" customFormat="false" ht="12" hidden="false" customHeight="true" outlineLevel="0" collapsed="false">
      <c r="A6" s="6" t="s">
        <v>4</v>
      </c>
      <c r="B6" s="7" t="s">
        <v>11</v>
      </c>
      <c r="C6" s="6" t="s">
        <v>12</v>
      </c>
      <c r="D6" s="6" t="str">
        <f aca="false">CONCATENATE(A6,"-",B6,"-",C6)</f>
        <v>BA-04-L00</v>
      </c>
    </row>
    <row r="7" customFormat="false" ht="12" hidden="false" customHeight="true" outlineLevel="0" collapsed="false">
      <c r="A7" s="6" t="s">
        <v>4</v>
      </c>
      <c r="B7" s="7" t="s">
        <v>13</v>
      </c>
      <c r="C7" s="6" t="s">
        <v>14</v>
      </c>
      <c r="D7" s="6" t="str">
        <f aca="false">CONCATENATE(A7,"-",B7,"-",C7)</f>
        <v>BA-05-L01</v>
      </c>
    </row>
    <row r="8" customFormat="false" ht="12" hidden="false" customHeight="true" outlineLevel="0" collapsed="false">
      <c r="A8" s="6" t="s">
        <v>4</v>
      </c>
      <c r="B8" s="7" t="s">
        <v>15</v>
      </c>
      <c r="C8" s="6" t="s">
        <v>16</v>
      </c>
      <c r="D8" s="6" t="str">
        <f aca="false">CONCATENATE(A8,"-",B8,"-",C8)</f>
        <v>BA-06-L02</v>
      </c>
    </row>
    <row r="9" customFormat="false" ht="12" hidden="false" customHeight="true" outlineLevel="0" collapsed="false">
      <c r="A9" s="6" t="s">
        <v>4</v>
      </c>
      <c r="B9" s="7" t="s">
        <v>17</v>
      </c>
      <c r="C9" s="6" t="s">
        <v>18</v>
      </c>
      <c r="D9" s="6" t="str">
        <f aca="false">CONCATENATE(A9,"-",B9,"-",C9)</f>
        <v>BA-07-L03</v>
      </c>
    </row>
    <row r="10" customFormat="false" ht="12" hidden="false" customHeight="true" outlineLevel="0" collapsed="false">
      <c r="A10" s="6" t="s">
        <v>4</v>
      </c>
      <c r="B10" s="7" t="s">
        <v>19</v>
      </c>
      <c r="C10" s="6" t="s">
        <v>20</v>
      </c>
      <c r="D10" s="6" t="str">
        <f aca="false">CONCATENATE(A10,"-",B10,"-",C10)</f>
        <v>BA-08-L04</v>
      </c>
    </row>
    <row r="11" customFormat="false" ht="12" hidden="false" customHeight="true" outlineLevel="0" collapsed="false">
      <c r="A11" s="6" t="s">
        <v>4</v>
      </c>
      <c r="B11" s="7" t="s">
        <v>21</v>
      </c>
      <c r="C11" s="6" t="s">
        <v>22</v>
      </c>
      <c r="D11" s="6" t="str">
        <f aca="false">CONCATENATE(A11,"-",B11,"-",C11)</f>
        <v>BA-09-L05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1" activeCellId="0" sqref="D41"/>
    </sheetView>
  </sheetViews>
  <sheetFormatPr defaultColWidth="9.1484375" defaultRowHeight="12.75" zeroHeight="false" outlineLevelRow="0" outlineLevelCol="0"/>
  <cols>
    <col collapsed="false" customWidth="true" hidden="false" outlineLevel="0" max="1" min="1" style="2" width="15.85"/>
    <col collapsed="false" customWidth="false" hidden="false" outlineLevel="0" max="2" min="2" style="2" width="9.14"/>
    <col collapsed="false" customWidth="true" hidden="false" outlineLevel="0" max="4" min="3" style="2" width="16.29"/>
    <col collapsed="false" customWidth="true" hidden="false" outlineLevel="0" max="5" min="5" style="2" width="15.57"/>
    <col collapsed="false" customWidth="true" hidden="false" outlineLevel="0" max="6" min="6" style="2" width="20.14"/>
    <col collapsed="false" customWidth="true" hidden="false" outlineLevel="0" max="7" min="7" style="2" width="12.71"/>
    <col collapsed="false" customWidth="true" hidden="false" outlineLevel="0" max="8" min="8" style="2" width="12.29"/>
    <col collapsed="false" customWidth="false" hidden="false" outlineLevel="0" max="16384" min="9" style="2" width="9.14"/>
  </cols>
  <sheetData>
    <row r="1" s="4" customFormat="true" ht="22.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</row>
    <row r="2" customFormat="false" ht="14.25" hidden="false" customHeight="true" outlineLevel="0" collapsed="false">
      <c r="A2" s="8" t="s">
        <v>24</v>
      </c>
      <c r="B2" s="8" t="s">
        <v>25</v>
      </c>
      <c r="C2" s="8" t="s">
        <v>26</v>
      </c>
      <c r="D2" s="8" t="s">
        <v>27</v>
      </c>
      <c r="E2" s="8" t="s">
        <v>1</v>
      </c>
      <c r="F2" s="8" t="s">
        <v>2</v>
      </c>
      <c r="G2" s="8" t="s">
        <v>28</v>
      </c>
      <c r="H2" s="8" t="s">
        <v>0</v>
      </c>
    </row>
    <row r="3" customFormat="false" ht="12" hidden="false" customHeight="true" outlineLevel="0" collapsed="false">
      <c r="A3" s="9"/>
      <c r="B3" s="9"/>
      <c r="C3" s="9"/>
      <c r="D3" s="9"/>
      <c r="E3" s="9"/>
      <c r="F3" s="9"/>
      <c r="G3" s="9"/>
      <c r="H3" s="9"/>
    </row>
    <row r="4" customFormat="false" ht="12" hidden="false" customHeight="true" outlineLevel="0" collapsed="false">
      <c r="A4" s="9"/>
      <c r="B4" s="9"/>
      <c r="C4" s="9"/>
      <c r="D4" s="9"/>
      <c r="E4" s="9"/>
      <c r="F4" s="9"/>
      <c r="G4" s="9"/>
      <c r="H4" s="9"/>
    </row>
    <row r="5" customFormat="false" ht="12" hidden="false" customHeight="true" outlineLevel="0" collapsed="false">
      <c r="A5" s="9"/>
      <c r="B5" s="9"/>
      <c r="C5" s="9"/>
      <c r="D5" s="9"/>
      <c r="E5" s="9"/>
      <c r="F5" s="9"/>
      <c r="G5" s="9"/>
      <c r="H5" s="9"/>
    </row>
    <row r="6" customFormat="false" ht="12" hidden="false" customHeight="tru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2" hidden="false" customHeight="tru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2" hidden="false" customHeight="tru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2" hidden="false" customHeight="tru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2" hidden="false" customHeight="tru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2" hidden="false" customHeight="tru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2" hidden="false" customHeight="tru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2" hidden="false" customHeight="tru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2" hidden="false" customHeight="tru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2" hidden="false" customHeight="tru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2" hidden="false" customHeight="tru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2" hidden="false" customHeight="tru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2" hidden="false" customHeight="tru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2" hidden="false" customHeight="tru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2" hidden="false" customHeight="tru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2" hidden="false" customHeight="true" outlineLevel="0" collapsed="false">
      <c r="A21" s="9"/>
      <c r="B21" s="9"/>
      <c r="C21" s="9"/>
      <c r="D21" s="9"/>
      <c r="E21" s="9"/>
      <c r="F21" s="9"/>
      <c r="G21" s="9"/>
      <c r="H21" s="9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8.71484375" defaultRowHeight="15" zeroHeight="false" outlineLevelRow="0" outlineLevelCol="0"/>
  <cols>
    <col collapsed="false" customWidth="true" hidden="false" outlineLevel="0" max="1" min="1" style="10" width="17.42"/>
    <col collapsed="false" customWidth="true" hidden="false" outlineLevel="0" max="2" min="2" style="10" width="14.86"/>
    <col collapsed="false" customWidth="true" hidden="false" outlineLevel="0" max="3" min="3" style="10" width="28.14"/>
    <col collapsed="false" customWidth="true" hidden="false" outlineLevel="0" max="4" min="4" style="10" width="68.57"/>
  </cols>
  <sheetData>
    <row r="1" customFormat="false" ht="14.25" hidden="false" customHeight="true" outlineLevel="0" collapsed="false">
      <c r="A1" s="11" t="s">
        <v>29</v>
      </c>
      <c r="B1" s="11"/>
      <c r="C1" s="11"/>
      <c r="D1" s="11"/>
      <c r="E1" s="11"/>
    </row>
    <row r="2" customFormat="false" ht="14.25" hidden="false" customHeight="true" outlineLevel="0" collapsed="false">
      <c r="A2" s="12" t="s">
        <v>30</v>
      </c>
      <c r="B2" s="12" t="s">
        <v>31</v>
      </c>
      <c r="C2" s="12" t="s">
        <v>32</v>
      </c>
      <c r="D2" s="13" t="s">
        <v>33</v>
      </c>
      <c r="E2" s="12" t="s">
        <v>34</v>
      </c>
    </row>
    <row r="3" customFormat="false" ht="15" hidden="false" customHeight="true" outlineLevel="0" collapsed="false">
      <c r="A3" s="14" t="s">
        <v>35</v>
      </c>
      <c r="B3" s="14" t="s">
        <v>36</v>
      </c>
      <c r="C3" s="14" t="s">
        <v>37</v>
      </c>
      <c r="D3" s="15" t="s">
        <v>38</v>
      </c>
      <c r="E3" s="16" t="s">
        <v>39</v>
      </c>
    </row>
    <row r="4" customFormat="false" ht="15" hidden="false" customHeight="true" outlineLevel="0" collapsed="false">
      <c r="A4" s="14"/>
      <c r="B4" s="14"/>
      <c r="C4" s="14"/>
      <c r="D4" s="17" t="s">
        <v>40</v>
      </c>
      <c r="E4" s="16" t="s">
        <v>39</v>
      </c>
    </row>
    <row r="5" customFormat="false" ht="15" hidden="false" customHeight="true" outlineLevel="0" collapsed="false">
      <c r="A5" s="14"/>
      <c r="B5" s="14"/>
      <c r="C5" s="14"/>
      <c r="D5" s="17" t="s">
        <v>41</v>
      </c>
      <c r="E5" s="16" t="s">
        <v>39</v>
      </c>
    </row>
    <row r="6" customFormat="false" ht="15" hidden="false" customHeight="true" outlineLevel="0" collapsed="false">
      <c r="A6" s="14"/>
      <c r="B6" s="14"/>
      <c r="C6" s="18"/>
      <c r="D6" s="17" t="s">
        <v>42</v>
      </c>
      <c r="E6" s="16" t="s">
        <v>39</v>
      </c>
    </row>
    <row r="7" customFormat="false" ht="15" hidden="false" customHeight="true" outlineLevel="0" collapsed="false">
      <c r="A7" s="14"/>
      <c r="B7" s="14"/>
      <c r="C7" s="14" t="s">
        <v>43</v>
      </c>
      <c r="D7" s="15" t="s">
        <v>44</v>
      </c>
      <c r="E7" s="16" t="s">
        <v>45</v>
      </c>
    </row>
    <row r="8" customFormat="false" ht="15" hidden="false" customHeight="true" outlineLevel="0" collapsed="false">
      <c r="A8" s="14"/>
      <c r="B8" s="14"/>
      <c r="C8" s="14"/>
      <c r="D8" s="17" t="s">
        <v>46</v>
      </c>
      <c r="E8" s="16" t="s">
        <v>47</v>
      </c>
    </row>
    <row r="9" customFormat="false" ht="15" hidden="false" customHeight="true" outlineLevel="0" collapsed="false">
      <c r="A9" s="14"/>
      <c r="B9" s="14"/>
      <c r="C9" s="14"/>
      <c r="D9" s="17" t="s">
        <v>48</v>
      </c>
      <c r="E9" s="16" t="s">
        <v>49</v>
      </c>
    </row>
    <row r="10" customFormat="false" ht="15" hidden="false" customHeight="true" outlineLevel="0" collapsed="false">
      <c r="A10" s="14"/>
      <c r="B10" s="14"/>
      <c r="C10" s="14"/>
      <c r="D10" s="17" t="s">
        <v>50</v>
      </c>
      <c r="E10" s="16" t="s">
        <v>49</v>
      </c>
    </row>
    <row r="11" customFormat="false" ht="15" hidden="false" customHeight="true" outlineLevel="0" collapsed="false">
      <c r="A11" s="14"/>
      <c r="B11" s="14"/>
      <c r="C11" s="14"/>
      <c r="D11" s="17" t="s">
        <v>51</v>
      </c>
      <c r="E11" s="16" t="s">
        <v>49</v>
      </c>
    </row>
    <row r="12" customFormat="false" ht="15" hidden="false" customHeight="true" outlineLevel="0" collapsed="false">
      <c r="A12" s="14"/>
      <c r="B12" s="14"/>
      <c r="C12" s="14"/>
      <c r="D12" s="17" t="s">
        <v>52</v>
      </c>
      <c r="E12" s="16" t="s">
        <v>49</v>
      </c>
    </row>
    <row r="13" customFormat="false" ht="15" hidden="false" customHeight="true" outlineLevel="0" collapsed="false">
      <c r="A13" s="14"/>
      <c r="B13" s="14"/>
      <c r="C13" s="14"/>
      <c r="D13" s="17" t="s">
        <v>53</v>
      </c>
      <c r="E13" s="16" t="s">
        <v>49</v>
      </c>
    </row>
    <row r="14" customFormat="false" ht="15" hidden="false" customHeight="true" outlineLevel="0" collapsed="false">
      <c r="A14" s="14"/>
      <c r="B14" s="14"/>
      <c r="C14" s="14"/>
      <c r="D14" s="17" t="s">
        <v>54</v>
      </c>
      <c r="E14" s="16" t="s">
        <v>49</v>
      </c>
    </row>
    <row r="15" customFormat="false" ht="15" hidden="false" customHeight="true" outlineLevel="0" collapsed="false">
      <c r="A15" s="14"/>
      <c r="B15" s="14"/>
      <c r="C15" s="14"/>
      <c r="D15" s="17" t="s">
        <v>55</v>
      </c>
      <c r="E15" s="16" t="s">
        <v>47</v>
      </c>
    </row>
    <row r="16" customFormat="false" ht="15" hidden="false" customHeight="true" outlineLevel="0" collapsed="false">
      <c r="A16" s="14"/>
      <c r="B16" s="14"/>
      <c r="C16" s="14"/>
      <c r="D16" s="17" t="s">
        <v>56</v>
      </c>
      <c r="E16" s="16" t="s">
        <v>47</v>
      </c>
    </row>
    <row r="17" customFormat="false" ht="15" hidden="false" customHeight="true" outlineLevel="0" collapsed="false">
      <c r="A17" s="14"/>
      <c r="B17" s="14"/>
      <c r="C17" s="18"/>
      <c r="D17" s="17" t="s">
        <v>57</v>
      </c>
      <c r="E17" s="16" t="s">
        <v>45</v>
      </c>
    </row>
    <row r="18" customFormat="false" ht="15" hidden="false" customHeight="true" outlineLevel="0" collapsed="false">
      <c r="A18" s="14"/>
      <c r="B18" s="14"/>
      <c r="C18" s="14" t="s">
        <v>58</v>
      </c>
      <c r="D18" s="15" t="s">
        <v>59</v>
      </c>
      <c r="E18" s="16" t="s">
        <v>49</v>
      </c>
    </row>
    <row r="19" customFormat="false" ht="15" hidden="false" customHeight="true" outlineLevel="0" collapsed="false">
      <c r="A19" s="14"/>
      <c r="B19" s="18"/>
      <c r="C19" s="18"/>
      <c r="D19" s="17" t="s">
        <v>60</v>
      </c>
      <c r="E19" s="16" t="s">
        <v>39</v>
      </c>
    </row>
    <row r="20" customFormat="false" ht="15" hidden="false" customHeight="true" outlineLevel="0" collapsed="false">
      <c r="A20" s="14"/>
      <c r="B20" s="14" t="s">
        <v>61</v>
      </c>
      <c r="C20" s="14" t="s">
        <v>62</v>
      </c>
      <c r="D20" s="15" t="s">
        <v>63</v>
      </c>
      <c r="E20" s="16" t="s">
        <v>47</v>
      </c>
    </row>
    <row r="21" customFormat="false" ht="15" hidden="false" customHeight="true" outlineLevel="0" collapsed="false">
      <c r="A21" s="14"/>
      <c r="B21" s="14"/>
      <c r="C21" s="14"/>
      <c r="D21" s="17" t="s">
        <v>48</v>
      </c>
      <c r="E21" s="16" t="s">
        <v>49</v>
      </c>
    </row>
    <row r="22" customFormat="false" ht="15" hidden="false" customHeight="true" outlineLevel="0" collapsed="false">
      <c r="A22" s="14"/>
      <c r="B22" s="14"/>
      <c r="C22" s="14"/>
      <c r="D22" s="17" t="s">
        <v>56</v>
      </c>
      <c r="E22" s="16" t="s">
        <v>47</v>
      </c>
    </row>
    <row r="23" customFormat="false" ht="15" hidden="false" customHeight="true" outlineLevel="0" collapsed="false">
      <c r="A23" s="14"/>
      <c r="B23" s="14"/>
      <c r="C23" s="18"/>
      <c r="D23" s="17" t="s">
        <v>57</v>
      </c>
      <c r="E23" s="16" t="s">
        <v>45</v>
      </c>
    </row>
    <row r="24" customFormat="false" ht="15" hidden="false" customHeight="true" outlineLevel="0" collapsed="false">
      <c r="A24" s="14"/>
      <c r="B24" s="14"/>
      <c r="C24" s="14" t="s">
        <v>64</v>
      </c>
      <c r="D24" s="15" t="s">
        <v>46</v>
      </c>
      <c r="E24" s="16" t="s">
        <v>47</v>
      </c>
    </row>
    <row r="25" customFormat="false" ht="15" hidden="false" customHeight="true" outlineLevel="0" collapsed="false">
      <c r="A25" s="14"/>
      <c r="B25" s="14"/>
      <c r="C25" s="14"/>
      <c r="D25" s="17" t="s">
        <v>48</v>
      </c>
      <c r="E25" s="16" t="s">
        <v>49</v>
      </c>
    </row>
    <row r="26" customFormat="false" ht="15" hidden="false" customHeight="true" outlineLevel="0" collapsed="false">
      <c r="A26" s="14"/>
      <c r="B26" s="14"/>
      <c r="C26" s="14"/>
      <c r="D26" s="17" t="s">
        <v>52</v>
      </c>
      <c r="E26" s="16" t="s">
        <v>49</v>
      </c>
    </row>
    <row r="27" customFormat="false" ht="15" hidden="false" customHeight="true" outlineLevel="0" collapsed="false">
      <c r="A27" s="14"/>
      <c r="B27" s="14"/>
      <c r="C27" s="14"/>
      <c r="D27" s="17" t="s">
        <v>53</v>
      </c>
      <c r="E27" s="16" t="s">
        <v>49</v>
      </c>
    </row>
    <row r="28" customFormat="false" ht="15" hidden="false" customHeight="true" outlineLevel="0" collapsed="false">
      <c r="A28" s="14"/>
      <c r="B28" s="14"/>
      <c r="C28" s="14"/>
      <c r="D28" s="17" t="s">
        <v>54</v>
      </c>
      <c r="E28" s="16" t="s">
        <v>49</v>
      </c>
    </row>
    <row r="29" customFormat="false" ht="15" hidden="false" customHeight="true" outlineLevel="0" collapsed="false">
      <c r="A29" s="14"/>
      <c r="B29" s="14"/>
      <c r="C29" s="14"/>
      <c r="D29" s="17" t="s">
        <v>57</v>
      </c>
      <c r="E29" s="16" t="s">
        <v>45</v>
      </c>
    </row>
    <row r="30" customFormat="false" ht="15" hidden="false" customHeight="true" outlineLevel="0" collapsed="false">
      <c r="A30" s="14"/>
      <c r="B30" s="14"/>
      <c r="C30" s="18"/>
      <c r="D30" s="17" t="s">
        <v>65</v>
      </c>
      <c r="E30" s="16" t="s">
        <v>39</v>
      </c>
    </row>
    <row r="31" customFormat="false" ht="15" hidden="false" customHeight="true" outlineLevel="0" collapsed="false">
      <c r="A31" s="14"/>
      <c r="B31" s="14"/>
      <c r="C31" s="14" t="s">
        <v>66</v>
      </c>
      <c r="D31" s="15" t="s">
        <v>67</v>
      </c>
      <c r="E31" s="16" t="s">
        <v>47</v>
      </c>
    </row>
    <row r="32" customFormat="false" ht="15" hidden="false" customHeight="true" outlineLevel="0" collapsed="false">
      <c r="A32" s="14"/>
      <c r="B32" s="14"/>
      <c r="C32" s="14"/>
      <c r="D32" s="17" t="s">
        <v>50</v>
      </c>
      <c r="E32" s="16" t="s">
        <v>49</v>
      </c>
    </row>
    <row r="33" customFormat="false" ht="15" hidden="false" customHeight="true" outlineLevel="0" collapsed="false">
      <c r="A33" s="14"/>
      <c r="B33" s="18"/>
      <c r="C33" s="18"/>
      <c r="D33" s="17" t="s">
        <v>57</v>
      </c>
      <c r="E33" s="16" t="s">
        <v>45</v>
      </c>
    </row>
    <row r="34" customFormat="false" ht="15" hidden="false" customHeight="true" outlineLevel="0" collapsed="false">
      <c r="A34" s="14"/>
      <c r="B34" s="14" t="s">
        <v>68</v>
      </c>
      <c r="C34" s="14" t="s">
        <v>69</v>
      </c>
      <c r="D34" s="15" t="s">
        <v>46</v>
      </c>
      <c r="E34" s="16" t="s">
        <v>47</v>
      </c>
    </row>
    <row r="35" customFormat="false" ht="15" hidden="false" customHeight="true" outlineLevel="0" collapsed="false">
      <c r="A35" s="14"/>
      <c r="B35" s="14"/>
      <c r="C35" s="14"/>
      <c r="D35" s="17" t="s">
        <v>48</v>
      </c>
      <c r="E35" s="16" t="s">
        <v>49</v>
      </c>
    </row>
    <row r="36" customFormat="false" ht="15" hidden="false" customHeight="true" outlineLevel="0" collapsed="false">
      <c r="A36" s="14"/>
      <c r="B36" s="14"/>
      <c r="C36" s="14"/>
      <c r="D36" s="17" t="s">
        <v>50</v>
      </c>
      <c r="E36" s="16" t="s">
        <v>49</v>
      </c>
    </row>
    <row r="37" customFormat="false" ht="15" hidden="false" customHeight="true" outlineLevel="0" collapsed="false">
      <c r="A37" s="14"/>
      <c r="B37" s="14"/>
      <c r="C37" s="14"/>
      <c r="D37" s="17" t="s">
        <v>51</v>
      </c>
      <c r="E37" s="16" t="s">
        <v>49</v>
      </c>
    </row>
    <row r="38" customFormat="false" ht="15" hidden="false" customHeight="true" outlineLevel="0" collapsed="false">
      <c r="A38" s="14"/>
      <c r="B38" s="14"/>
      <c r="C38" s="14"/>
      <c r="D38" s="17" t="s">
        <v>52</v>
      </c>
      <c r="E38" s="16" t="s">
        <v>49</v>
      </c>
    </row>
    <row r="39" customFormat="false" ht="15" hidden="false" customHeight="true" outlineLevel="0" collapsed="false">
      <c r="A39" s="14"/>
      <c r="B39" s="14"/>
      <c r="C39" s="14"/>
      <c r="D39" s="17" t="s">
        <v>53</v>
      </c>
      <c r="E39" s="16" t="s">
        <v>49</v>
      </c>
    </row>
    <row r="40" customFormat="false" ht="15" hidden="false" customHeight="true" outlineLevel="0" collapsed="false">
      <c r="A40" s="14"/>
      <c r="B40" s="14"/>
      <c r="C40" s="14"/>
      <c r="D40" s="17" t="s">
        <v>54</v>
      </c>
      <c r="E40" s="16" t="s">
        <v>49</v>
      </c>
    </row>
    <row r="41" customFormat="false" ht="15" hidden="false" customHeight="true" outlineLevel="0" collapsed="false">
      <c r="A41" s="14"/>
      <c r="B41" s="14"/>
      <c r="C41" s="14"/>
      <c r="D41" s="17" t="s">
        <v>57</v>
      </c>
      <c r="E41" s="16" t="s">
        <v>45</v>
      </c>
    </row>
    <row r="42" customFormat="false" ht="15" hidden="false" customHeight="true" outlineLevel="0" collapsed="false">
      <c r="A42" s="14"/>
      <c r="B42" s="14"/>
      <c r="C42" s="18"/>
      <c r="D42" s="17" t="s">
        <v>70</v>
      </c>
      <c r="E42" s="16" t="s">
        <v>49</v>
      </c>
    </row>
    <row r="43" customFormat="false" ht="15" hidden="false" customHeight="true" outlineLevel="0" collapsed="false">
      <c r="A43" s="14"/>
      <c r="B43" s="14"/>
      <c r="C43" s="14" t="s">
        <v>71</v>
      </c>
      <c r="D43" s="15" t="s">
        <v>67</v>
      </c>
      <c r="E43" s="16" t="s">
        <v>47</v>
      </c>
    </row>
    <row r="44" customFormat="false" ht="15" hidden="false" customHeight="true" outlineLevel="0" collapsed="false">
      <c r="A44" s="14"/>
      <c r="B44" s="14"/>
      <c r="C44" s="14"/>
      <c r="D44" s="17" t="s">
        <v>46</v>
      </c>
      <c r="E44" s="16" t="s">
        <v>47</v>
      </c>
    </row>
    <row r="45" customFormat="false" ht="15" hidden="false" customHeight="true" outlineLevel="0" collapsed="false">
      <c r="A45" s="14"/>
      <c r="B45" s="14"/>
      <c r="C45" s="14"/>
      <c r="D45" s="17" t="s">
        <v>50</v>
      </c>
      <c r="E45" s="16" t="s">
        <v>49</v>
      </c>
    </row>
    <row r="46" customFormat="false" ht="15" hidden="false" customHeight="true" outlineLevel="0" collapsed="false">
      <c r="A46" s="14"/>
      <c r="B46" s="14"/>
      <c r="C46" s="14"/>
      <c r="D46" s="17" t="s">
        <v>51</v>
      </c>
      <c r="E46" s="16" t="s">
        <v>49</v>
      </c>
    </row>
    <row r="47" customFormat="false" ht="15" hidden="false" customHeight="true" outlineLevel="0" collapsed="false">
      <c r="A47" s="14"/>
      <c r="B47" s="14"/>
      <c r="C47" s="14"/>
      <c r="D47" s="17" t="s">
        <v>52</v>
      </c>
      <c r="E47" s="16" t="s">
        <v>49</v>
      </c>
    </row>
    <row r="48" customFormat="false" ht="15" hidden="false" customHeight="true" outlineLevel="0" collapsed="false">
      <c r="A48" s="14"/>
      <c r="B48" s="14"/>
      <c r="C48" s="14"/>
      <c r="D48" s="17" t="s">
        <v>53</v>
      </c>
      <c r="E48" s="16" t="s">
        <v>49</v>
      </c>
    </row>
    <row r="49" customFormat="false" ht="15" hidden="false" customHeight="true" outlineLevel="0" collapsed="false">
      <c r="A49" s="14"/>
      <c r="B49" s="14"/>
      <c r="C49" s="14"/>
      <c r="D49" s="17" t="s">
        <v>54</v>
      </c>
      <c r="E49" s="16" t="s">
        <v>49</v>
      </c>
    </row>
    <row r="50" customFormat="false" ht="15" hidden="false" customHeight="true" outlineLevel="0" collapsed="false">
      <c r="A50" s="14"/>
      <c r="B50" s="14"/>
      <c r="C50" s="14"/>
      <c r="D50" s="17" t="s">
        <v>57</v>
      </c>
      <c r="E50" s="16" t="s">
        <v>45</v>
      </c>
    </row>
    <row r="51" customFormat="false" ht="15" hidden="false" customHeight="true" outlineLevel="0" collapsed="false">
      <c r="A51" s="14"/>
      <c r="B51" s="14"/>
      <c r="C51" s="18"/>
      <c r="D51" s="17" t="s">
        <v>72</v>
      </c>
      <c r="E51" s="16" t="s">
        <v>49</v>
      </c>
    </row>
    <row r="52" customFormat="false" ht="15" hidden="false" customHeight="true" outlineLevel="0" collapsed="false">
      <c r="A52" s="14"/>
      <c r="B52" s="14"/>
      <c r="C52" s="14" t="s">
        <v>73</v>
      </c>
      <c r="D52" s="15" t="s">
        <v>67</v>
      </c>
      <c r="E52" s="16" t="s">
        <v>47</v>
      </c>
    </row>
    <row r="53" customFormat="false" ht="15" hidden="false" customHeight="true" outlineLevel="0" collapsed="false">
      <c r="A53" s="14"/>
      <c r="B53" s="14"/>
      <c r="C53" s="14"/>
      <c r="D53" s="17" t="s">
        <v>48</v>
      </c>
      <c r="E53" s="16" t="s">
        <v>49</v>
      </c>
    </row>
    <row r="54" customFormat="false" ht="15" hidden="false" customHeight="true" outlineLevel="0" collapsed="false">
      <c r="A54" s="14"/>
      <c r="B54" s="14"/>
      <c r="C54" s="14"/>
      <c r="D54" s="17" t="s">
        <v>50</v>
      </c>
      <c r="E54" s="16" t="s">
        <v>49</v>
      </c>
    </row>
    <row r="55" customFormat="false" ht="15" hidden="false" customHeight="true" outlineLevel="0" collapsed="false">
      <c r="A55" s="14"/>
      <c r="B55" s="14"/>
      <c r="C55" s="14"/>
      <c r="D55" s="17" t="s">
        <v>51</v>
      </c>
      <c r="E55" s="16" t="s">
        <v>49</v>
      </c>
    </row>
    <row r="56" customFormat="false" ht="15" hidden="false" customHeight="true" outlineLevel="0" collapsed="false">
      <c r="A56" s="14"/>
      <c r="B56" s="14"/>
      <c r="C56" s="14"/>
      <c r="D56" s="17" t="s">
        <v>52</v>
      </c>
      <c r="E56" s="16" t="s">
        <v>49</v>
      </c>
    </row>
    <row r="57" customFormat="false" ht="15" hidden="false" customHeight="true" outlineLevel="0" collapsed="false">
      <c r="A57" s="14"/>
      <c r="B57" s="14"/>
      <c r="C57" s="14"/>
      <c r="D57" s="17" t="s">
        <v>53</v>
      </c>
      <c r="E57" s="16" t="s">
        <v>49</v>
      </c>
    </row>
    <row r="58" customFormat="false" ht="15" hidden="false" customHeight="true" outlineLevel="0" collapsed="false">
      <c r="A58" s="14"/>
      <c r="B58" s="14"/>
      <c r="C58" s="14"/>
      <c r="D58" s="17" t="s">
        <v>74</v>
      </c>
      <c r="E58" s="16" t="s">
        <v>49</v>
      </c>
    </row>
    <row r="59" customFormat="false" ht="15" hidden="false" customHeight="true" outlineLevel="0" collapsed="false">
      <c r="A59" s="14"/>
      <c r="B59" s="14"/>
      <c r="C59" s="18"/>
      <c r="D59" s="17" t="s">
        <v>57</v>
      </c>
      <c r="E59" s="16" t="s">
        <v>45</v>
      </c>
    </row>
    <row r="60" customFormat="false" ht="15" hidden="false" customHeight="true" outlineLevel="0" collapsed="false">
      <c r="A60" s="14"/>
      <c r="B60" s="14"/>
      <c r="C60" s="14" t="s">
        <v>75</v>
      </c>
      <c r="D60" s="15" t="s">
        <v>67</v>
      </c>
      <c r="E60" s="16" t="s">
        <v>47</v>
      </c>
    </row>
    <row r="61" customFormat="false" ht="15" hidden="false" customHeight="true" outlineLevel="0" collapsed="false">
      <c r="A61" s="14"/>
      <c r="B61" s="19"/>
      <c r="C61" s="19"/>
      <c r="D61" s="17" t="s">
        <v>48</v>
      </c>
      <c r="E61" s="16" t="s">
        <v>49</v>
      </c>
    </row>
    <row r="62" customFormat="false" ht="15" hidden="false" customHeight="true" outlineLevel="0" collapsed="false">
      <c r="A62" s="14"/>
      <c r="B62" s="14"/>
      <c r="C62" s="18"/>
      <c r="D62" s="17" t="s">
        <v>57</v>
      </c>
      <c r="E62" s="16" t="s">
        <v>45</v>
      </c>
    </row>
    <row r="63" customFormat="false" ht="15" hidden="false" customHeight="true" outlineLevel="0" collapsed="false">
      <c r="A63" s="14"/>
      <c r="B63" s="14"/>
      <c r="C63" s="14" t="s">
        <v>76</v>
      </c>
      <c r="D63" s="15" t="s">
        <v>67</v>
      </c>
      <c r="E63" s="16" t="s">
        <v>47</v>
      </c>
    </row>
    <row r="64" customFormat="false" ht="15" hidden="false" customHeight="true" outlineLevel="0" collapsed="false">
      <c r="A64" s="14"/>
      <c r="B64" s="14"/>
      <c r="C64" s="14"/>
      <c r="D64" s="17" t="s">
        <v>46</v>
      </c>
      <c r="E64" s="16" t="s">
        <v>47</v>
      </c>
    </row>
    <row r="65" customFormat="false" ht="15" hidden="false" customHeight="true" outlineLevel="0" collapsed="false">
      <c r="A65" s="14"/>
      <c r="B65" s="14"/>
      <c r="C65" s="14"/>
      <c r="D65" s="17" t="s">
        <v>48</v>
      </c>
      <c r="E65" s="16" t="s">
        <v>49</v>
      </c>
    </row>
    <row r="66" customFormat="false" ht="15" hidden="false" customHeight="true" outlineLevel="0" collapsed="false">
      <c r="A66" s="14"/>
      <c r="B66" s="14"/>
      <c r="C66" s="14"/>
      <c r="D66" s="17" t="s">
        <v>51</v>
      </c>
      <c r="E66" s="16" t="s">
        <v>49</v>
      </c>
    </row>
    <row r="67" customFormat="false" ht="15" hidden="false" customHeight="true" outlineLevel="0" collapsed="false">
      <c r="A67" s="14"/>
      <c r="B67" s="14"/>
      <c r="C67" s="14"/>
      <c r="D67" s="17" t="s">
        <v>52</v>
      </c>
      <c r="E67" s="16" t="s">
        <v>49</v>
      </c>
    </row>
    <row r="68" customFormat="false" ht="15" hidden="false" customHeight="true" outlineLevel="0" collapsed="false">
      <c r="A68" s="14"/>
      <c r="B68" s="14"/>
      <c r="C68" s="14"/>
      <c r="D68" s="17" t="s">
        <v>53</v>
      </c>
      <c r="E68" s="16" t="s">
        <v>49</v>
      </c>
    </row>
    <row r="69" customFormat="false" ht="15" hidden="false" customHeight="true" outlineLevel="0" collapsed="false">
      <c r="A69" s="14"/>
      <c r="B69" s="14"/>
      <c r="C69" s="14"/>
      <c r="D69" s="17" t="s">
        <v>54</v>
      </c>
      <c r="E69" s="16" t="s">
        <v>49</v>
      </c>
    </row>
    <row r="70" customFormat="false" ht="15" hidden="false" customHeight="true" outlineLevel="0" collapsed="false">
      <c r="A70" s="19"/>
      <c r="B70" s="18"/>
      <c r="C70" s="18"/>
      <c r="D70" s="17" t="s">
        <v>57</v>
      </c>
      <c r="E70" s="16" t="s">
        <v>45</v>
      </c>
    </row>
    <row r="71" customFormat="false" ht="14.25" hidden="false" customHeight="true" outlineLevel="0" collapsed="false">
      <c r="B71" s="10" t="s">
        <v>77</v>
      </c>
      <c r="C71" s="10" t="s">
        <v>78</v>
      </c>
    </row>
    <row r="72" customFormat="false" ht="14.25" hidden="false" customHeight="true" outlineLevel="0" collapsed="false">
      <c r="C72" s="10" t="s">
        <v>79</v>
      </c>
    </row>
    <row r="73" customFormat="false" ht="14.25" hidden="false" customHeight="true" outlineLevel="0" collapsed="false">
      <c r="C73" s="10" t="s">
        <v>80</v>
      </c>
    </row>
    <row r="74" customFormat="false" ht="14.25" hidden="false" customHeight="true" outlineLevel="0" collapsed="false">
      <c r="C74" s="10" t="s">
        <v>81</v>
      </c>
    </row>
    <row r="75" customFormat="false" ht="14.25" hidden="false" customHeight="true" outlineLevel="0" collapsed="false">
      <c r="C75" s="10" t="s">
        <v>82</v>
      </c>
    </row>
    <row r="76" customFormat="false" ht="14.25" hidden="false" customHeight="true" outlineLevel="0" collapsed="false">
      <c r="C76" s="10" t="s">
        <v>83</v>
      </c>
    </row>
    <row r="77" customFormat="false" ht="14.25" hidden="false" customHeight="true" outlineLevel="0" collapsed="false">
      <c r="C77" s="10" t="s">
        <v>84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20" activeCellId="0" sqref="E20"/>
    </sheetView>
  </sheetViews>
  <sheetFormatPr defaultColWidth="9.1484375" defaultRowHeight="12.75" zeroHeight="false" outlineLevelRow="0" outlineLevelCol="1"/>
  <cols>
    <col collapsed="false" customWidth="true" hidden="false" outlineLevel="0" max="2" min="1" style="2" width="27.86"/>
    <col collapsed="false" customWidth="true" hidden="false" outlineLevel="0" max="3" min="3" style="2" width="51.86"/>
    <col collapsed="false" customWidth="false" hidden="false" outlineLevel="0" max="4" min="4" style="1" width="9.14"/>
    <col collapsed="false" customWidth="true" hidden="false" outlineLevel="0" max="5" min="5" style="1" width="22"/>
    <col collapsed="false" customWidth="true" hidden="true" outlineLevel="1" max="6" min="6" style="2" width="15.42"/>
    <col collapsed="false" customWidth="true" hidden="true" outlineLevel="1" max="7" min="7" style="2" width="19.86"/>
    <col collapsed="false" customWidth="true" hidden="true" outlineLevel="1" max="8" min="8" style="2" width="18"/>
    <col collapsed="false" customWidth="true" hidden="false" outlineLevel="0" max="9" min="9" style="20" width="16.29"/>
    <col collapsed="false" customWidth="true" hidden="false" outlineLevel="0" max="10" min="10" style="20" width="17.71"/>
    <col collapsed="false" customWidth="true" hidden="true" outlineLevel="1" max="11" min="11" style="2" width="17.71"/>
    <col collapsed="false" customWidth="true" hidden="true" outlineLevel="1" max="12" min="12" style="2" width="15"/>
    <col collapsed="false" customWidth="true" hidden="true" outlineLevel="1" max="13" min="13" style="2" width="20.29"/>
    <col collapsed="false" customWidth="false" hidden="false" outlineLevel="0" max="14" min="14" style="2" width="9.14"/>
    <col collapsed="false" customWidth="true" hidden="false" outlineLevel="0" max="15" min="15" style="2" width="14.42"/>
    <col collapsed="false" customWidth="true" hidden="false" outlineLevel="0" max="16" min="16" style="2" width="33.86"/>
    <col collapsed="false" customWidth="false" hidden="false" outlineLevel="0" max="16384" min="17" style="2" width="9.14"/>
  </cols>
  <sheetData>
    <row r="1" customFormat="false" ht="24.75" hidden="false" customHeight="true" outlineLevel="0" collapsed="false">
      <c r="A1" s="21" t="s">
        <v>85</v>
      </c>
      <c r="B1" s="21"/>
      <c r="C1" s="21"/>
      <c r="D1" s="21"/>
      <c r="E1" s="21"/>
      <c r="F1" s="22" t="s">
        <v>86</v>
      </c>
      <c r="G1" s="22"/>
      <c r="H1" s="22"/>
      <c r="I1" s="22"/>
      <c r="J1" s="22"/>
      <c r="K1" s="22"/>
      <c r="L1" s="22"/>
      <c r="M1" s="22"/>
      <c r="N1" s="2" t="s">
        <v>87</v>
      </c>
    </row>
    <row r="2" customFormat="false" ht="24.75" hidden="false" customHeight="true" outlineLevel="0" collapsed="false">
      <c r="A2" s="23" t="s">
        <v>88</v>
      </c>
      <c r="B2" s="24" t="s">
        <v>89</v>
      </c>
      <c r="C2" s="24" t="s">
        <v>33</v>
      </c>
      <c r="D2" s="21" t="s">
        <v>34</v>
      </c>
      <c r="E2" s="21" t="s">
        <v>90</v>
      </c>
      <c r="F2" s="22" t="s">
        <v>91</v>
      </c>
      <c r="G2" s="22" t="s">
        <v>92</v>
      </c>
      <c r="H2" s="22" t="s">
        <v>93</v>
      </c>
      <c r="I2" s="25" t="s">
        <v>94</v>
      </c>
      <c r="J2" s="25" t="s">
        <v>95</v>
      </c>
      <c r="K2" s="22" t="s">
        <v>96</v>
      </c>
      <c r="L2" s="22" t="s">
        <v>97</v>
      </c>
      <c r="M2" s="22" t="s">
        <v>98</v>
      </c>
    </row>
    <row r="3" customFormat="false" ht="12.75" hidden="false" customHeight="true" outlineLevel="0" collapsed="false">
      <c r="A3" s="9" t="s">
        <v>99</v>
      </c>
      <c r="B3" s="9" t="s">
        <v>100</v>
      </c>
      <c r="C3" s="26" t="s">
        <v>101</v>
      </c>
      <c r="D3" s="6" t="s">
        <v>102</v>
      </c>
      <c r="E3" s="6"/>
      <c r="F3" s="9"/>
      <c r="G3" s="9"/>
      <c r="H3" s="9"/>
      <c r="I3" s="27" t="n">
        <v>13000</v>
      </c>
      <c r="J3" s="27" t="n">
        <v>0</v>
      </c>
      <c r="K3" s="9"/>
      <c r="L3" s="9"/>
      <c r="M3" s="9"/>
    </row>
    <row r="4" customFormat="false" ht="12.75" hidden="false" customHeight="true" outlineLevel="0" collapsed="false">
      <c r="A4" s="9" t="s">
        <v>99</v>
      </c>
      <c r="B4" s="9" t="s">
        <v>100</v>
      </c>
      <c r="C4" s="9" t="s">
        <v>103</v>
      </c>
      <c r="D4" s="6" t="s">
        <v>102</v>
      </c>
      <c r="E4" s="6"/>
      <c r="F4" s="9"/>
      <c r="G4" s="9"/>
      <c r="H4" s="9"/>
      <c r="I4" s="27" t="n">
        <v>28000</v>
      </c>
      <c r="J4" s="27" t="n">
        <v>0</v>
      </c>
      <c r="K4" s="9"/>
      <c r="L4" s="9"/>
      <c r="M4" s="9"/>
    </row>
    <row r="5" customFormat="false" ht="12.75" hidden="false" customHeight="true" outlineLevel="0" collapsed="false">
      <c r="A5" s="9" t="s">
        <v>99</v>
      </c>
      <c r="B5" s="9" t="s">
        <v>100</v>
      </c>
      <c r="C5" s="26" t="s">
        <v>104</v>
      </c>
      <c r="D5" s="6" t="s">
        <v>102</v>
      </c>
      <c r="E5" s="6"/>
      <c r="F5" s="9"/>
      <c r="G5" s="9"/>
      <c r="H5" s="9"/>
      <c r="I5" s="27" t="n">
        <v>3470</v>
      </c>
      <c r="J5" s="27" t="n">
        <v>0</v>
      </c>
      <c r="K5" s="9"/>
      <c r="L5" s="9"/>
      <c r="M5" s="9"/>
    </row>
    <row r="6" customFormat="false" ht="12.75" hidden="false" customHeight="true" outlineLevel="0" collapsed="false">
      <c r="A6" s="9" t="s">
        <v>99</v>
      </c>
      <c r="B6" s="9" t="s">
        <v>100</v>
      </c>
      <c r="C6" s="26" t="s">
        <v>105</v>
      </c>
      <c r="D6" s="6" t="s">
        <v>102</v>
      </c>
      <c r="E6" s="6"/>
      <c r="F6" s="9"/>
      <c r="G6" s="9"/>
      <c r="H6" s="9"/>
      <c r="I6" s="27"/>
      <c r="J6" s="27"/>
      <c r="K6" s="9"/>
      <c r="L6" s="9"/>
      <c r="M6" s="9"/>
    </row>
    <row r="7" customFormat="false" ht="12.75" hidden="false" customHeight="true" outlineLevel="0" collapsed="false">
      <c r="A7" s="9" t="s">
        <v>99</v>
      </c>
      <c r="B7" s="9" t="s">
        <v>106</v>
      </c>
      <c r="C7" s="26" t="s">
        <v>107</v>
      </c>
      <c r="D7" s="6" t="s">
        <v>102</v>
      </c>
      <c r="E7" s="6"/>
      <c r="F7" s="9"/>
      <c r="G7" s="9"/>
      <c r="H7" s="9"/>
      <c r="I7" s="27"/>
      <c r="J7" s="27"/>
      <c r="K7" s="9"/>
      <c r="L7" s="9"/>
      <c r="M7" s="9"/>
    </row>
    <row r="8" customFormat="false" ht="12.75" hidden="false" customHeight="true" outlineLevel="0" collapsed="false">
      <c r="A8" s="9" t="s">
        <v>99</v>
      </c>
      <c r="B8" s="9" t="s">
        <v>106</v>
      </c>
      <c r="C8" s="26" t="s">
        <v>108</v>
      </c>
      <c r="D8" s="6" t="s">
        <v>39</v>
      </c>
      <c r="E8" s="6"/>
      <c r="F8" s="9"/>
      <c r="G8" s="9"/>
      <c r="H8" s="9"/>
      <c r="I8" s="27" t="n">
        <v>260</v>
      </c>
      <c r="J8" s="27" t="n">
        <v>0</v>
      </c>
      <c r="K8" s="9"/>
      <c r="L8" s="9"/>
      <c r="M8" s="9"/>
    </row>
    <row r="9" customFormat="false" ht="12.75" hidden="false" customHeight="true" outlineLevel="0" collapsed="false">
      <c r="A9" s="9" t="s">
        <v>99</v>
      </c>
      <c r="B9" s="9" t="s">
        <v>106</v>
      </c>
      <c r="C9" s="26" t="s">
        <v>109</v>
      </c>
      <c r="D9" s="6" t="s">
        <v>39</v>
      </c>
      <c r="E9" s="6"/>
      <c r="F9" s="9"/>
      <c r="G9" s="9"/>
      <c r="H9" s="9"/>
      <c r="I9" s="27" t="n">
        <v>60</v>
      </c>
      <c r="J9" s="27" t="n">
        <v>0</v>
      </c>
      <c r="K9" s="9"/>
      <c r="L9" s="9"/>
      <c r="M9" s="9"/>
    </row>
    <row r="10" customFormat="false" ht="12.75" hidden="false" customHeight="true" outlineLevel="0" collapsed="false">
      <c r="A10" s="9" t="s">
        <v>99</v>
      </c>
      <c r="B10" s="9" t="s">
        <v>110</v>
      </c>
      <c r="C10" s="26" t="s">
        <v>63</v>
      </c>
      <c r="D10" s="6" t="s">
        <v>47</v>
      </c>
      <c r="E10" s="6"/>
      <c r="F10" s="9"/>
      <c r="G10" s="9"/>
      <c r="H10" s="9"/>
      <c r="I10" s="27" t="n">
        <v>16</v>
      </c>
      <c r="J10" s="27" t="n">
        <v>63</v>
      </c>
      <c r="K10" s="9"/>
      <c r="L10" s="9"/>
      <c r="M10" s="9"/>
    </row>
    <row r="11" customFormat="false" ht="12.75" hidden="false" customHeight="true" outlineLevel="0" collapsed="false">
      <c r="A11" s="9" t="s">
        <v>99</v>
      </c>
      <c r="B11" s="9" t="s">
        <v>111</v>
      </c>
      <c r="C11" s="26" t="s">
        <v>112</v>
      </c>
      <c r="D11" s="6" t="s">
        <v>49</v>
      </c>
      <c r="E11" s="6"/>
      <c r="F11" s="9"/>
      <c r="G11" s="9"/>
      <c r="H11" s="9"/>
      <c r="I11" s="27" t="n">
        <v>0.07</v>
      </c>
      <c r="J11" s="27" t="n">
        <v>0.78</v>
      </c>
      <c r="K11" s="9"/>
      <c r="L11" s="9"/>
      <c r="M11" s="9"/>
    </row>
    <row r="12" customFormat="false" ht="12.75" hidden="false" customHeight="true" outlineLevel="0" collapsed="false">
      <c r="A12" s="9" t="s">
        <v>99</v>
      </c>
      <c r="B12" s="9" t="s">
        <v>111</v>
      </c>
      <c r="C12" s="26" t="s">
        <v>113</v>
      </c>
      <c r="D12" s="6" t="s">
        <v>49</v>
      </c>
      <c r="E12" s="6"/>
      <c r="F12" s="9"/>
      <c r="G12" s="9"/>
      <c r="H12" s="9"/>
      <c r="I12" s="27" t="n">
        <v>0.07</v>
      </c>
      <c r="J12" s="27" t="n">
        <v>0.78</v>
      </c>
      <c r="K12" s="9"/>
      <c r="L12" s="9"/>
      <c r="M12" s="9"/>
    </row>
    <row r="13" customFormat="false" ht="12.75" hidden="false" customHeight="true" outlineLevel="0" collapsed="false">
      <c r="A13" s="9" t="s">
        <v>99</v>
      </c>
      <c r="B13" s="9" t="s">
        <v>111</v>
      </c>
      <c r="C13" s="28" t="s">
        <v>114</v>
      </c>
      <c r="D13" s="6" t="s">
        <v>49</v>
      </c>
      <c r="E13" s="6"/>
      <c r="F13" s="9"/>
      <c r="G13" s="9"/>
      <c r="H13" s="9"/>
      <c r="I13" s="27" t="n">
        <v>0.07</v>
      </c>
      <c r="J13" s="27" t="n">
        <v>0.78</v>
      </c>
      <c r="K13" s="9"/>
      <c r="L13" s="9"/>
      <c r="M13" s="9"/>
    </row>
    <row r="14" customFormat="false" ht="12.75" hidden="false" customHeight="true" outlineLevel="0" collapsed="false">
      <c r="A14" s="9" t="s">
        <v>99</v>
      </c>
      <c r="B14" s="9" t="s">
        <v>115</v>
      </c>
      <c r="C14" s="26" t="s">
        <v>116</v>
      </c>
      <c r="D14" s="6" t="s">
        <v>49</v>
      </c>
      <c r="E14" s="6"/>
      <c r="F14" s="9"/>
      <c r="G14" s="9"/>
      <c r="H14" s="9"/>
      <c r="I14" s="27" t="n">
        <v>0.12</v>
      </c>
      <c r="J14" s="27" t="n">
        <v>0.908</v>
      </c>
      <c r="K14" s="9"/>
      <c r="L14" s="9"/>
      <c r="M14" s="9"/>
    </row>
    <row r="15" customFormat="false" ht="12.75" hidden="false" customHeight="true" outlineLevel="0" collapsed="false">
      <c r="A15" s="9" t="s">
        <v>99</v>
      </c>
      <c r="B15" s="9" t="s">
        <v>117</v>
      </c>
      <c r="C15" s="26" t="s">
        <v>118</v>
      </c>
      <c r="D15" s="6" t="s">
        <v>39</v>
      </c>
      <c r="E15" s="6"/>
      <c r="F15" s="9"/>
      <c r="G15" s="9"/>
      <c r="H15" s="9"/>
      <c r="I15" s="27" t="n">
        <v>3.7</v>
      </c>
      <c r="J15" s="27" t="n">
        <v>0</v>
      </c>
      <c r="K15" s="9"/>
      <c r="L15" s="9"/>
      <c r="M15" s="9"/>
    </row>
    <row r="16" customFormat="false" ht="12.75" hidden="false" customHeight="true" outlineLevel="0" collapsed="false">
      <c r="A16" s="9" t="s">
        <v>99</v>
      </c>
      <c r="B16" s="9" t="s">
        <v>119</v>
      </c>
      <c r="C16" s="9" t="s">
        <v>120</v>
      </c>
      <c r="D16" s="6" t="s">
        <v>39</v>
      </c>
      <c r="E16" s="6"/>
      <c r="F16" s="9"/>
      <c r="G16" s="9"/>
      <c r="H16" s="9"/>
      <c r="I16" s="27" t="n">
        <v>3.5</v>
      </c>
      <c r="J16" s="27" t="n">
        <v>0</v>
      </c>
      <c r="K16" s="9"/>
      <c r="L16" s="9"/>
      <c r="M16" s="9"/>
    </row>
    <row r="17" customFormat="false" ht="12.75" hidden="false" customHeight="true" outlineLevel="0" collapsed="false">
      <c r="A17" s="9" t="s">
        <v>99</v>
      </c>
      <c r="B17" s="9" t="s">
        <v>121</v>
      </c>
      <c r="C17" s="26" t="s">
        <v>122</v>
      </c>
      <c r="D17" s="6" t="s">
        <v>123</v>
      </c>
      <c r="E17" s="6"/>
      <c r="F17" s="9"/>
      <c r="G17" s="9"/>
      <c r="H17" s="9"/>
      <c r="I17" s="27" t="n">
        <v>13000</v>
      </c>
      <c r="J17" s="27" t="n">
        <v>0</v>
      </c>
      <c r="K17" s="9"/>
      <c r="L17" s="9"/>
      <c r="M17" s="9"/>
    </row>
    <row r="18" customFormat="false" ht="12.75" hidden="false" customHeight="true" outlineLevel="0" collapsed="false">
      <c r="A18" s="9" t="s">
        <v>99</v>
      </c>
      <c r="B18" s="9" t="s">
        <v>124</v>
      </c>
      <c r="C18" s="26" t="s">
        <v>125</v>
      </c>
      <c r="D18" s="6" t="s">
        <v>126</v>
      </c>
      <c r="E18" s="6"/>
      <c r="F18" s="9"/>
      <c r="G18" s="9"/>
      <c r="H18" s="9"/>
      <c r="I18" s="27" t="n">
        <v>150</v>
      </c>
      <c r="J18" s="27" t="n">
        <v>0</v>
      </c>
      <c r="K18" s="9"/>
      <c r="L18" s="9"/>
      <c r="M18" s="9"/>
    </row>
    <row r="19" s="33" customFormat="true" ht="39" hidden="false" customHeight="true" outlineLevel="0" collapsed="false">
      <c r="A19" s="29" t="s">
        <v>99</v>
      </c>
      <c r="B19" s="29" t="s">
        <v>121</v>
      </c>
      <c r="C19" s="30" t="s">
        <v>127</v>
      </c>
      <c r="D19" s="31" t="s">
        <v>126</v>
      </c>
      <c r="E19" s="31"/>
      <c r="F19" s="29"/>
      <c r="G19" s="29"/>
      <c r="H19" s="29"/>
      <c r="I19" s="32" t="n">
        <v>22000</v>
      </c>
      <c r="J19" s="32" t="n">
        <v>0</v>
      </c>
      <c r="K19" s="29"/>
      <c r="L19" s="29"/>
      <c r="M19" s="29"/>
    </row>
    <row r="20" customFormat="false" ht="12.75" hidden="false" customHeight="true" outlineLevel="0" collapsed="false">
      <c r="A20" s="9" t="s">
        <v>99</v>
      </c>
      <c r="B20" s="9" t="s">
        <v>128</v>
      </c>
      <c r="C20" s="26" t="s">
        <v>129</v>
      </c>
      <c r="D20" s="6" t="s">
        <v>126</v>
      </c>
      <c r="E20" s="6"/>
      <c r="F20" s="9"/>
      <c r="G20" s="9"/>
      <c r="H20" s="9"/>
      <c r="I20" s="27" t="n">
        <v>30</v>
      </c>
      <c r="J20" s="27" t="n">
        <v>0</v>
      </c>
      <c r="K20" s="9"/>
      <c r="L20" s="9"/>
      <c r="M20" s="9"/>
    </row>
    <row r="21" customFormat="false" ht="12.75" hidden="false" customHeight="true" outlineLevel="0" collapsed="false">
      <c r="A21" s="9" t="s">
        <v>99</v>
      </c>
      <c r="B21" s="9" t="s">
        <v>128</v>
      </c>
      <c r="C21" s="34" t="s">
        <v>130</v>
      </c>
      <c r="D21" s="6" t="s">
        <v>126</v>
      </c>
      <c r="E21" s="6"/>
      <c r="F21" s="9"/>
      <c r="G21" s="9"/>
      <c r="H21" s="9"/>
      <c r="I21" s="27" t="n">
        <v>60</v>
      </c>
      <c r="J21" s="27" t="n">
        <v>0</v>
      </c>
      <c r="K21" s="9"/>
      <c r="L21" s="9"/>
      <c r="M21" s="9"/>
    </row>
    <row r="22" customFormat="false" ht="12.75" hidden="false" customHeight="true" outlineLevel="0" collapsed="false">
      <c r="A22" s="9" t="s">
        <v>99</v>
      </c>
      <c r="B22" s="9" t="s">
        <v>121</v>
      </c>
      <c r="C22" s="26" t="s">
        <v>131</v>
      </c>
      <c r="D22" s="6" t="s">
        <v>102</v>
      </c>
      <c r="E22" s="6"/>
      <c r="F22" s="9"/>
      <c r="G22" s="9"/>
      <c r="H22" s="9"/>
      <c r="I22" s="27" t="n">
        <v>1000</v>
      </c>
      <c r="J22" s="27" t="n">
        <v>0</v>
      </c>
      <c r="K22" s="9"/>
      <c r="L22" s="9"/>
      <c r="M22" s="9"/>
    </row>
    <row r="23" customFormat="false" ht="12.75" hidden="false" customHeight="true" outlineLevel="0" collapsed="false">
      <c r="A23" s="9" t="s">
        <v>132</v>
      </c>
      <c r="B23" s="9" t="s">
        <v>133</v>
      </c>
      <c r="C23" s="26" t="s">
        <v>122</v>
      </c>
      <c r="D23" s="6" t="s">
        <v>134</v>
      </c>
      <c r="E23" s="6"/>
      <c r="F23" s="9"/>
      <c r="G23" s="9"/>
      <c r="H23" s="9"/>
      <c r="I23" s="27" t="n">
        <v>0</v>
      </c>
      <c r="J23" s="27" t="n">
        <v>10000</v>
      </c>
      <c r="K23" s="9"/>
      <c r="L23" s="9"/>
      <c r="M23" s="9"/>
    </row>
    <row r="24" customFormat="false" ht="12.75" hidden="false" customHeight="true" outlineLevel="0" collapsed="false">
      <c r="A24" s="9" t="s">
        <v>132</v>
      </c>
      <c r="B24" s="9" t="s">
        <v>135</v>
      </c>
      <c r="C24" s="26" t="s">
        <v>136</v>
      </c>
      <c r="D24" s="6" t="s">
        <v>39</v>
      </c>
      <c r="E24" s="6"/>
      <c r="F24" s="9"/>
      <c r="G24" s="9"/>
      <c r="H24" s="9"/>
      <c r="I24" s="27" t="n">
        <v>0</v>
      </c>
      <c r="J24" s="27" t="n">
        <v>59</v>
      </c>
      <c r="K24" s="9"/>
      <c r="L24" s="9"/>
      <c r="M24" s="9"/>
    </row>
    <row r="25" customFormat="false" ht="12.75" hidden="false" customHeight="true" outlineLevel="0" collapsed="false">
      <c r="A25" s="9" t="s">
        <v>132</v>
      </c>
      <c r="B25" s="9" t="s">
        <v>124</v>
      </c>
      <c r="C25" s="26" t="s">
        <v>136</v>
      </c>
      <c r="D25" s="6" t="s">
        <v>126</v>
      </c>
      <c r="E25" s="6"/>
      <c r="F25" s="9"/>
      <c r="G25" s="9"/>
      <c r="H25" s="9"/>
      <c r="I25" s="27" t="n">
        <v>20</v>
      </c>
      <c r="J25" s="27" t="n">
        <v>0</v>
      </c>
      <c r="K25" s="9"/>
      <c r="L25" s="9"/>
      <c r="M25" s="9"/>
    </row>
    <row r="26" customFormat="false" ht="12.75" hidden="false" customHeight="true" outlineLevel="0" collapsed="false">
      <c r="A26" s="9" t="s">
        <v>132</v>
      </c>
      <c r="B26" s="9" t="s">
        <v>137</v>
      </c>
      <c r="C26" s="26" t="s">
        <v>136</v>
      </c>
      <c r="D26" s="6" t="s">
        <v>102</v>
      </c>
      <c r="E26" s="6"/>
      <c r="F26" s="9"/>
      <c r="G26" s="9"/>
      <c r="H26" s="9"/>
      <c r="I26" s="27" t="n">
        <v>500</v>
      </c>
      <c r="J26" s="27" t="n">
        <v>0</v>
      </c>
      <c r="K26" s="9"/>
      <c r="L26" s="9"/>
      <c r="M26" s="9"/>
    </row>
    <row r="27" customFormat="false" ht="12.75" hidden="false" customHeight="true" outlineLevel="0" collapsed="false">
      <c r="A27" s="9" t="s">
        <v>138</v>
      </c>
      <c r="B27" s="9" t="s">
        <v>133</v>
      </c>
      <c r="C27" s="26" t="s">
        <v>122</v>
      </c>
      <c r="D27" s="6" t="s">
        <v>102</v>
      </c>
      <c r="E27" s="6"/>
      <c r="F27" s="9"/>
      <c r="G27" s="9"/>
      <c r="H27" s="9"/>
      <c r="I27" s="27" t="n">
        <v>10000</v>
      </c>
      <c r="J27" s="27" t="n">
        <v>0</v>
      </c>
      <c r="K27" s="9"/>
      <c r="L27" s="9"/>
      <c r="M27" s="9"/>
    </row>
    <row r="28" customFormat="false" ht="12.75" hidden="false" customHeight="true" outlineLevel="0" collapsed="false">
      <c r="A28" s="9" t="s">
        <v>138</v>
      </c>
      <c r="B28" s="9" t="s">
        <v>135</v>
      </c>
      <c r="C28" s="26" t="s">
        <v>139</v>
      </c>
      <c r="D28" s="6" t="s">
        <v>39</v>
      </c>
      <c r="E28" s="6"/>
      <c r="F28" s="9"/>
      <c r="G28" s="9"/>
      <c r="H28" s="9"/>
      <c r="I28" s="27" t="n">
        <v>4.4</v>
      </c>
      <c r="J28" s="27" t="n">
        <v>11.6</v>
      </c>
      <c r="K28" s="9"/>
      <c r="L28" s="9"/>
      <c r="M28" s="9"/>
    </row>
    <row r="29" customFormat="false" ht="12.75" hidden="false" customHeight="true" outlineLevel="0" collapsed="false">
      <c r="A29" s="9" t="s">
        <v>138</v>
      </c>
      <c r="B29" s="9" t="s">
        <v>140</v>
      </c>
      <c r="C29" s="26" t="s">
        <v>139</v>
      </c>
      <c r="D29" s="6" t="s">
        <v>126</v>
      </c>
      <c r="E29" s="6"/>
      <c r="F29" s="9"/>
      <c r="G29" s="9"/>
      <c r="H29" s="9"/>
      <c r="I29" s="27" t="n">
        <v>18.75</v>
      </c>
      <c r="J29" s="27" t="n">
        <v>0</v>
      </c>
      <c r="K29" s="9"/>
      <c r="L29" s="9"/>
      <c r="M29" s="9"/>
    </row>
    <row r="30" customFormat="false" ht="12.75" hidden="false" customHeight="true" outlineLevel="0" collapsed="false">
      <c r="A30" s="9" t="s">
        <v>43</v>
      </c>
      <c r="B30" s="9" t="s">
        <v>141</v>
      </c>
      <c r="C30" s="9" t="s">
        <v>141</v>
      </c>
      <c r="D30" s="6" t="s">
        <v>47</v>
      </c>
      <c r="E30" s="6"/>
      <c r="F30" s="9"/>
      <c r="G30" s="9"/>
      <c r="H30" s="9"/>
      <c r="I30" s="27" t="n">
        <v>3.5</v>
      </c>
      <c r="J30" s="27" t="n">
        <v>4.7</v>
      </c>
      <c r="K30" s="9"/>
      <c r="L30" s="9"/>
      <c r="M30" s="9"/>
    </row>
    <row r="31" customFormat="false" ht="12.75" hidden="false" customHeight="true" outlineLevel="0" collapsed="false">
      <c r="A31" s="9" t="s">
        <v>43</v>
      </c>
      <c r="B31" s="35" t="s">
        <v>142</v>
      </c>
      <c r="C31" s="35" t="s">
        <v>142</v>
      </c>
      <c r="D31" s="6" t="s">
        <v>47</v>
      </c>
      <c r="E31" s="6"/>
      <c r="F31" s="9"/>
      <c r="G31" s="9"/>
      <c r="H31" s="9"/>
      <c r="I31" s="27" t="n">
        <v>3.5</v>
      </c>
      <c r="J31" s="27" t="n">
        <v>4.7</v>
      </c>
      <c r="K31" s="9"/>
      <c r="L31" s="9"/>
      <c r="M31" s="9"/>
    </row>
    <row r="32" customFormat="false" ht="12.75" hidden="false" customHeight="true" outlineLevel="0" collapsed="false">
      <c r="A32" s="9" t="s">
        <v>43</v>
      </c>
      <c r="B32" s="9" t="s">
        <v>143</v>
      </c>
      <c r="C32" s="26" t="s">
        <v>144</v>
      </c>
      <c r="D32" s="6" t="s">
        <v>47</v>
      </c>
      <c r="E32" s="6"/>
      <c r="F32" s="9"/>
      <c r="G32" s="9"/>
      <c r="H32" s="9"/>
      <c r="I32" s="27" t="n">
        <v>3.5</v>
      </c>
      <c r="J32" s="27" t="n">
        <v>0</v>
      </c>
      <c r="K32" s="9"/>
      <c r="L32" s="9"/>
      <c r="M32" s="9"/>
    </row>
    <row r="33" customFormat="false" ht="12.75" hidden="false" customHeight="true" outlineLevel="0" collapsed="false">
      <c r="A33" s="9" t="s">
        <v>43</v>
      </c>
      <c r="B33" s="29" t="s">
        <v>145</v>
      </c>
      <c r="C33" s="35" t="s">
        <v>146</v>
      </c>
      <c r="D33" s="6" t="s">
        <v>45</v>
      </c>
      <c r="E33" s="6"/>
      <c r="F33" s="9"/>
      <c r="G33" s="9"/>
      <c r="H33" s="9"/>
      <c r="I33" s="27" t="n">
        <v>1.8</v>
      </c>
      <c r="J33" s="27" t="n">
        <v>0</v>
      </c>
      <c r="K33" s="9"/>
      <c r="L33" s="9"/>
      <c r="M33" s="9"/>
    </row>
    <row r="34" customFormat="false" ht="12.75" hidden="false" customHeight="true" outlineLevel="0" collapsed="false">
      <c r="A34" s="9" t="s">
        <v>43</v>
      </c>
      <c r="B34" s="9" t="s">
        <v>147</v>
      </c>
      <c r="C34" s="26" t="s">
        <v>148</v>
      </c>
      <c r="D34" s="6" t="s">
        <v>45</v>
      </c>
      <c r="E34" s="6"/>
      <c r="F34" s="9"/>
      <c r="G34" s="9"/>
      <c r="H34" s="9"/>
      <c r="I34" s="27"/>
      <c r="J34" s="27"/>
      <c r="K34" s="9"/>
      <c r="L34" s="9"/>
      <c r="M34" s="9"/>
    </row>
    <row r="35" customFormat="false" ht="12.75" hidden="false" customHeight="true" outlineLevel="0" collapsed="false">
      <c r="A35" s="9" t="s">
        <v>43</v>
      </c>
      <c r="B35" s="9" t="s">
        <v>149</v>
      </c>
      <c r="C35" s="26" t="s">
        <v>150</v>
      </c>
      <c r="D35" s="6" t="s">
        <v>47</v>
      </c>
      <c r="E35" s="6"/>
      <c r="F35" s="9"/>
      <c r="G35" s="9"/>
      <c r="H35" s="9"/>
      <c r="I35" s="27" t="n">
        <v>11</v>
      </c>
      <c r="J35" s="27" t="n">
        <v>52</v>
      </c>
      <c r="K35" s="9"/>
      <c r="L35" s="9"/>
      <c r="M35" s="9"/>
    </row>
    <row r="36" customFormat="false" ht="12.75" hidden="false" customHeight="true" outlineLevel="0" collapsed="false">
      <c r="A36" s="9" t="s">
        <v>43</v>
      </c>
      <c r="B36" s="9" t="s">
        <v>151</v>
      </c>
      <c r="C36" s="26" t="s">
        <v>152</v>
      </c>
      <c r="D36" s="6" t="s">
        <v>47</v>
      </c>
      <c r="E36" s="6"/>
      <c r="F36" s="9"/>
      <c r="G36" s="9"/>
      <c r="H36" s="9"/>
      <c r="I36" s="27" t="n">
        <v>11</v>
      </c>
      <c r="J36" s="27" t="n">
        <v>52</v>
      </c>
      <c r="K36" s="9"/>
      <c r="L36" s="9"/>
      <c r="M36" s="9"/>
    </row>
    <row r="37" customFormat="false" ht="12.75" hidden="false" customHeight="true" outlineLevel="0" collapsed="false">
      <c r="A37" s="9" t="s">
        <v>43</v>
      </c>
      <c r="B37" s="9" t="s">
        <v>110</v>
      </c>
      <c r="C37" s="26" t="s">
        <v>63</v>
      </c>
      <c r="D37" s="6" t="s">
        <v>47</v>
      </c>
      <c r="E37" s="6"/>
      <c r="F37" s="9"/>
      <c r="G37" s="9"/>
      <c r="H37" s="9"/>
      <c r="I37" s="27" t="n">
        <v>11</v>
      </c>
      <c r="J37" s="27" t="n">
        <v>63</v>
      </c>
      <c r="K37" s="9"/>
      <c r="L37" s="9"/>
      <c r="M37" s="9"/>
    </row>
    <row r="38" customFormat="false" ht="12.75" hidden="false" customHeight="true" outlineLevel="0" collapsed="false">
      <c r="A38" s="9" t="s">
        <v>43</v>
      </c>
      <c r="B38" s="9" t="s">
        <v>153</v>
      </c>
      <c r="C38" s="26" t="s">
        <v>153</v>
      </c>
      <c r="D38" s="6" t="s">
        <v>45</v>
      </c>
      <c r="E38" s="6"/>
      <c r="F38" s="9"/>
      <c r="G38" s="9"/>
      <c r="H38" s="9"/>
      <c r="I38" s="27" t="n">
        <v>14</v>
      </c>
      <c r="J38" s="27" t="n">
        <v>12</v>
      </c>
      <c r="K38" s="9"/>
      <c r="L38" s="9"/>
      <c r="M38" s="9"/>
    </row>
    <row r="39" customFormat="false" ht="12.75" hidden="false" customHeight="true" outlineLevel="0" collapsed="false">
      <c r="A39" s="9" t="s">
        <v>43</v>
      </c>
      <c r="B39" s="9" t="s">
        <v>111</v>
      </c>
      <c r="C39" s="26" t="s">
        <v>112</v>
      </c>
      <c r="D39" s="6" t="s">
        <v>49</v>
      </c>
      <c r="E39" s="6"/>
      <c r="F39" s="9"/>
      <c r="G39" s="9"/>
      <c r="H39" s="9"/>
      <c r="I39" s="27" t="n">
        <v>0.145</v>
      </c>
      <c r="J39" s="27" t="n">
        <v>0.78</v>
      </c>
      <c r="K39" s="9"/>
      <c r="L39" s="9"/>
      <c r="M39" s="9"/>
    </row>
    <row r="40" customFormat="false" ht="12.75" hidden="false" customHeight="true" outlineLevel="0" collapsed="false">
      <c r="A40" s="9" t="s">
        <v>43</v>
      </c>
      <c r="B40" s="9" t="s">
        <v>111</v>
      </c>
      <c r="C40" s="26" t="s">
        <v>154</v>
      </c>
      <c r="D40" s="6" t="s">
        <v>49</v>
      </c>
      <c r="E40" s="6"/>
      <c r="F40" s="9"/>
      <c r="G40" s="9"/>
      <c r="H40" s="9"/>
      <c r="I40" s="27" t="n">
        <v>0.145</v>
      </c>
      <c r="J40" s="27" t="n">
        <v>0.78</v>
      </c>
      <c r="K40" s="9"/>
      <c r="L40" s="9"/>
      <c r="M40" s="9"/>
    </row>
    <row r="41" customFormat="false" ht="12.75" hidden="false" customHeight="true" outlineLevel="0" collapsed="false">
      <c r="A41" s="9" t="s">
        <v>43</v>
      </c>
      <c r="B41" s="9" t="s">
        <v>111</v>
      </c>
      <c r="C41" s="26" t="s">
        <v>155</v>
      </c>
      <c r="D41" s="6" t="s">
        <v>49</v>
      </c>
      <c r="E41" s="6"/>
      <c r="F41" s="9"/>
      <c r="G41" s="9"/>
      <c r="H41" s="9"/>
      <c r="I41" s="27" t="n">
        <v>0.145</v>
      </c>
      <c r="J41" s="27" t="n">
        <v>0.78</v>
      </c>
      <c r="K41" s="9"/>
      <c r="L41" s="9"/>
      <c r="M41" s="9"/>
    </row>
    <row r="42" customFormat="false" ht="12.75" hidden="false" customHeight="true" outlineLevel="0" collapsed="false">
      <c r="A42" s="9" t="s">
        <v>43</v>
      </c>
      <c r="B42" s="9" t="s">
        <v>111</v>
      </c>
      <c r="C42" s="26" t="s">
        <v>114</v>
      </c>
      <c r="D42" s="6" t="s">
        <v>49</v>
      </c>
      <c r="E42" s="6"/>
      <c r="F42" s="9"/>
      <c r="G42" s="9"/>
      <c r="H42" s="9"/>
      <c r="I42" s="27" t="n">
        <v>0.145</v>
      </c>
      <c r="J42" s="27" t="n">
        <v>0.78</v>
      </c>
      <c r="K42" s="9"/>
      <c r="L42" s="9"/>
      <c r="M42" s="9"/>
    </row>
    <row r="43" customFormat="false" ht="12.75" hidden="false" customHeight="true" outlineLevel="0" collapsed="false">
      <c r="A43" s="9" t="s">
        <v>43</v>
      </c>
      <c r="B43" s="9" t="s">
        <v>111</v>
      </c>
      <c r="C43" s="26" t="s">
        <v>156</v>
      </c>
      <c r="D43" s="6" t="s">
        <v>49</v>
      </c>
      <c r="E43" s="6"/>
      <c r="F43" s="9"/>
      <c r="G43" s="9"/>
      <c r="H43" s="9"/>
      <c r="I43" s="27" t="n">
        <v>0.145</v>
      </c>
      <c r="J43" s="27" t="n">
        <v>0.78</v>
      </c>
      <c r="K43" s="9"/>
      <c r="L43" s="9"/>
      <c r="M43" s="9"/>
    </row>
    <row r="44" customFormat="false" ht="12.75" hidden="false" customHeight="true" outlineLevel="0" collapsed="false">
      <c r="A44" s="9" t="s">
        <v>43</v>
      </c>
      <c r="B44" s="9" t="s">
        <v>111</v>
      </c>
      <c r="C44" s="26" t="s">
        <v>157</v>
      </c>
      <c r="D44" s="6" t="s">
        <v>49</v>
      </c>
      <c r="E44" s="6"/>
      <c r="F44" s="9"/>
      <c r="G44" s="9"/>
      <c r="H44" s="9"/>
      <c r="I44" s="27" t="n">
        <v>0.145</v>
      </c>
      <c r="J44" s="27" t="n">
        <v>0.78</v>
      </c>
      <c r="K44" s="9"/>
      <c r="L44" s="9"/>
      <c r="M44" s="9"/>
    </row>
    <row r="45" customFormat="false" ht="12.75" hidden="false" customHeight="true" outlineLevel="0" collapsed="false">
      <c r="A45" s="9" t="s">
        <v>43</v>
      </c>
      <c r="B45" s="9" t="s">
        <v>115</v>
      </c>
      <c r="C45" s="26" t="s">
        <v>116</v>
      </c>
      <c r="D45" s="6" t="s">
        <v>49</v>
      </c>
      <c r="E45" s="6"/>
      <c r="F45" s="9"/>
      <c r="G45" s="9"/>
      <c r="H45" s="9"/>
      <c r="I45" s="27" t="n">
        <v>0.12</v>
      </c>
      <c r="J45" s="27" t="n">
        <v>0.908</v>
      </c>
      <c r="K45" s="9"/>
      <c r="L45" s="9"/>
      <c r="M45" s="9"/>
    </row>
    <row r="46" customFormat="false" ht="12.75" hidden="false" customHeight="true" outlineLevel="0" collapsed="false">
      <c r="A46" s="9" t="s">
        <v>43</v>
      </c>
      <c r="B46" s="9" t="s">
        <v>158</v>
      </c>
      <c r="C46" s="26" t="s">
        <v>159</v>
      </c>
      <c r="D46" s="6" t="s">
        <v>102</v>
      </c>
      <c r="E46" s="6"/>
      <c r="F46" s="9"/>
      <c r="G46" s="9"/>
      <c r="H46" s="9"/>
      <c r="I46" s="27" t="n">
        <v>0.12</v>
      </c>
      <c r="J46" s="27" t="n">
        <v>0.12</v>
      </c>
      <c r="K46" s="9"/>
      <c r="L46" s="9"/>
      <c r="M46" s="9"/>
    </row>
    <row r="47" customFormat="false" ht="12.75" hidden="false" customHeight="true" outlineLevel="0" collapsed="false">
      <c r="A47" s="29" t="s">
        <v>62</v>
      </c>
      <c r="B47" s="9" t="s">
        <v>141</v>
      </c>
      <c r="C47" s="9" t="s">
        <v>141</v>
      </c>
      <c r="D47" s="6" t="s">
        <v>47</v>
      </c>
      <c r="E47" s="6"/>
      <c r="F47" s="9"/>
      <c r="G47" s="9"/>
      <c r="H47" s="9"/>
      <c r="I47" s="27" t="n">
        <v>3.5</v>
      </c>
      <c r="J47" s="27" t="n">
        <v>4.7</v>
      </c>
      <c r="K47" s="9"/>
      <c r="L47" s="9"/>
      <c r="M47" s="9"/>
    </row>
    <row r="48" customFormat="false" ht="12.75" hidden="false" customHeight="true" outlineLevel="0" collapsed="false">
      <c r="A48" s="29" t="s">
        <v>62</v>
      </c>
      <c r="B48" s="35" t="s">
        <v>142</v>
      </c>
      <c r="C48" s="35" t="s">
        <v>142</v>
      </c>
      <c r="D48" s="6" t="s">
        <v>47</v>
      </c>
      <c r="E48" s="6"/>
      <c r="F48" s="9"/>
      <c r="G48" s="9"/>
      <c r="H48" s="9"/>
      <c r="I48" s="27" t="n">
        <v>3.5</v>
      </c>
      <c r="J48" s="27" t="n">
        <v>4.7</v>
      </c>
      <c r="K48" s="9"/>
      <c r="L48" s="9"/>
      <c r="M48" s="9"/>
    </row>
    <row r="49" customFormat="false" ht="12.75" hidden="false" customHeight="true" outlineLevel="0" collapsed="false">
      <c r="A49" s="29" t="s">
        <v>62</v>
      </c>
      <c r="B49" s="9" t="s">
        <v>143</v>
      </c>
      <c r="C49" s="26" t="s">
        <v>144</v>
      </c>
      <c r="D49" s="6" t="s">
        <v>47</v>
      </c>
      <c r="E49" s="6"/>
      <c r="F49" s="9"/>
      <c r="G49" s="9"/>
      <c r="H49" s="9"/>
      <c r="I49" s="27" t="n">
        <v>3.5</v>
      </c>
      <c r="J49" s="27" t="n">
        <v>0</v>
      </c>
      <c r="K49" s="9"/>
      <c r="L49" s="9"/>
      <c r="M49" s="9"/>
    </row>
    <row r="50" customFormat="false" ht="12.75" hidden="false" customHeight="true" outlineLevel="0" collapsed="false">
      <c r="A50" s="29" t="s">
        <v>62</v>
      </c>
      <c r="B50" s="29" t="s">
        <v>145</v>
      </c>
      <c r="C50" s="35" t="s">
        <v>146</v>
      </c>
      <c r="D50" s="6" t="s">
        <v>45</v>
      </c>
      <c r="E50" s="6"/>
      <c r="F50" s="9"/>
      <c r="G50" s="9"/>
      <c r="H50" s="9"/>
      <c r="I50" s="27"/>
      <c r="J50" s="27"/>
      <c r="K50" s="9"/>
      <c r="L50" s="9"/>
      <c r="M50" s="9"/>
    </row>
    <row r="51" customFormat="false" ht="12.75" hidden="false" customHeight="true" outlineLevel="0" collapsed="false">
      <c r="A51" s="29" t="s">
        <v>62</v>
      </c>
      <c r="B51" s="9" t="s">
        <v>149</v>
      </c>
      <c r="C51" s="36" t="s">
        <v>160</v>
      </c>
      <c r="D51" s="6" t="s">
        <v>47</v>
      </c>
      <c r="E51" s="6"/>
      <c r="F51" s="9"/>
      <c r="G51" s="9"/>
      <c r="H51" s="9"/>
      <c r="I51" s="27" t="n">
        <v>11</v>
      </c>
      <c r="J51" s="27" t="n">
        <v>50</v>
      </c>
      <c r="K51" s="9"/>
      <c r="L51" s="9"/>
      <c r="M51" s="9"/>
    </row>
    <row r="52" customFormat="false" ht="12.75" hidden="false" customHeight="true" outlineLevel="0" collapsed="false">
      <c r="A52" s="29" t="s">
        <v>62</v>
      </c>
      <c r="B52" s="9" t="s">
        <v>151</v>
      </c>
      <c r="C52" s="26" t="s">
        <v>152</v>
      </c>
      <c r="D52" s="6" t="s">
        <v>47</v>
      </c>
      <c r="E52" s="6"/>
      <c r="F52" s="9"/>
      <c r="G52" s="9"/>
      <c r="H52" s="9"/>
      <c r="I52" s="27" t="n">
        <v>11</v>
      </c>
      <c r="J52" s="27" t="n">
        <v>50</v>
      </c>
      <c r="K52" s="9"/>
      <c r="L52" s="9"/>
      <c r="M52" s="9"/>
    </row>
    <row r="53" customFormat="false" ht="12.75" hidden="false" customHeight="true" outlineLevel="0" collapsed="false">
      <c r="A53" s="29" t="s">
        <v>62</v>
      </c>
      <c r="B53" s="9" t="s">
        <v>110</v>
      </c>
      <c r="C53" s="36" t="s">
        <v>63</v>
      </c>
      <c r="D53" s="6" t="s">
        <v>47</v>
      </c>
      <c r="E53" s="6"/>
      <c r="F53" s="9"/>
      <c r="G53" s="9"/>
      <c r="H53" s="9"/>
      <c r="I53" s="27" t="n">
        <v>11</v>
      </c>
      <c r="J53" s="27" t="n">
        <v>63</v>
      </c>
      <c r="K53" s="9"/>
      <c r="L53" s="9"/>
      <c r="M53" s="9"/>
    </row>
    <row r="54" customFormat="false" ht="12.75" hidden="false" customHeight="true" outlineLevel="0" collapsed="false">
      <c r="A54" s="29" t="s">
        <v>62</v>
      </c>
      <c r="B54" s="9" t="s">
        <v>153</v>
      </c>
      <c r="C54" s="36" t="s">
        <v>153</v>
      </c>
      <c r="D54" s="6" t="s">
        <v>45</v>
      </c>
      <c r="E54" s="6"/>
      <c r="F54" s="9"/>
      <c r="G54" s="9"/>
      <c r="H54" s="9"/>
      <c r="I54" s="27" t="n">
        <v>14</v>
      </c>
      <c r="J54" s="27" t="n">
        <v>12</v>
      </c>
      <c r="K54" s="9"/>
      <c r="L54" s="9"/>
      <c r="M54" s="9"/>
    </row>
    <row r="55" customFormat="false" ht="12.75" hidden="false" customHeight="true" outlineLevel="0" collapsed="false">
      <c r="A55" s="29" t="s">
        <v>62</v>
      </c>
      <c r="B55" s="9" t="s">
        <v>111</v>
      </c>
      <c r="C55" s="36" t="s">
        <v>161</v>
      </c>
      <c r="D55" s="6" t="s">
        <v>49</v>
      </c>
      <c r="E55" s="6"/>
      <c r="F55" s="9"/>
      <c r="G55" s="9"/>
      <c r="H55" s="9"/>
      <c r="I55" s="27" t="n">
        <v>0.145</v>
      </c>
      <c r="J55" s="27" t="n">
        <v>0.78</v>
      </c>
      <c r="K55" s="9"/>
      <c r="L55" s="9"/>
      <c r="M55" s="9"/>
    </row>
    <row r="56" customFormat="false" ht="12.75" hidden="false" customHeight="true" outlineLevel="0" collapsed="false">
      <c r="A56" s="29" t="s">
        <v>62</v>
      </c>
      <c r="B56" s="9" t="s">
        <v>111</v>
      </c>
      <c r="C56" s="36" t="s">
        <v>154</v>
      </c>
      <c r="D56" s="6" t="s">
        <v>49</v>
      </c>
      <c r="E56" s="6"/>
      <c r="F56" s="9"/>
      <c r="G56" s="9"/>
      <c r="H56" s="9"/>
      <c r="I56" s="27" t="n">
        <v>0.145</v>
      </c>
      <c r="J56" s="27" t="n">
        <v>0.78</v>
      </c>
      <c r="K56" s="9"/>
      <c r="L56" s="9"/>
      <c r="M56" s="9"/>
    </row>
    <row r="57" customFormat="false" ht="12.75" hidden="false" customHeight="true" outlineLevel="0" collapsed="false">
      <c r="A57" s="29" t="s">
        <v>62</v>
      </c>
      <c r="B57" s="9" t="s">
        <v>111</v>
      </c>
      <c r="C57" s="36" t="s">
        <v>162</v>
      </c>
      <c r="D57" s="6" t="s">
        <v>49</v>
      </c>
      <c r="E57" s="6"/>
      <c r="F57" s="9"/>
      <c r="G57" s="9"/>
      <c r="H57" s="9"/>
      <c r="I57" s="27" t="n">
        <v>0.145</v>
      </c>
      <c r="J57" s="27" t="n">
        <v>0.78</v>
      </c>
      <c r="K57" s="9"/>
      <c r="L57" s="9"/>
      <c r="M57" s="9"/>
    </row>
    <row r="58" customFormat="false" ht="12.75" hidden="false" customHeight="true" outlineLevel="0" collapsed="false">
      <c r="A58" s="29" t="s">
        <v>62</v>
      </c>
      <c r="B58" s="9" t="s">
        <v>115</v>
      </c>
      <c r="C58" s="26" t="s">
        <v>116</v>
      </c>
      <c r="D58" s="6" t="s">
        <v>49</v>
      </c>
      <c r="E58" s="6"/>
      <c r="F58" s="9"/>
      <c r="G58" s="9"/>
      <c r="H58" s="9"/>
      <c r="I58" s="27" t="n">
        <v>0.12</v>
      </c>
      <c r="J58" s="27" t="n">
        <v>0.908</v>
      </c>
      <c r="K58" s="9"/>
      <c r="L58" s="9"/>
      <c r="M58" s="9"/>
    </row>
    <row r="59" customFormat="false" ht="12.75" hidden="false" customHeight="true" outlineLevel="0" collapsed="false">
      <c r="A59" s="29" t="s">
        <v>62</v>
      </c>
      <c r="B59" s="9" t="s">
        <v>163</v>
      </c>
      <c r="C59" s="29" t="s">
        <v>164</v>
      </c>
      <c r="D59" s="6" t="s">
        <v>39</v>
      </c>
      <c r="E59" s="6"/>
      <c r="F59" s="9"/>
      <c r="G59" s="9"/>
      <c r="H59" s="9"/>
      <c r="I59" s="27" t="n">
        <v>0</v>
      </c>
      <c r="J59" s="27" t="n">
        <v>11.75</v>
      </c>
      <c r="K59" s="9"/>
      <c r="L59" s="9"/>
      <c r="M59" s="9"/>
    </row>
    <row r="60" customFormat="false" ht="12.75" hidden="false" customHeight="true" outlineLevel="0" collapsed="false">
      <c r="A60" s="29" t="s">
        <v>66</v>
      </c>
      <c r="B60" s="9" t="s">
        <v>141</v>
      </c>
      <c r="C60" s="9" t="s">
        <v>141</v>
      </c>
      <c r="D60" s="6" t="s">
        <v>47</v>
      </c>
      <c r="E60" s="6"/>
      <c r="F60" s="9"/>
      <c r="G60" s="9"/>
      <c r="H60" s="9"/>
      <c r="I60" s="27" t="n">
        <v>3.5</v>
      </c>
      <c r="J60" s="27" t="n">
        <v>4.7</v>
      </c>
      <c r="K60" s="9"/>
      <c r="L60" s="9"/>
      <c r="M60" s="9"/>
    </row>
    <row r="61" customFormat="false" ht="12.75" hidden="false" customHeight="true" outlineLevel="0" collapsed="false">
      <c r="A61" s="29" t="s">
        <v>66</v>
      </c>
      <c r="B61" s="35" t="s">
        <v>142</v>
      </c>
      <c r="C61" s="35" t="s">
        <v>142</v>
      </c>
      <c r="D61" s="6" t="s">
        <v>47</v>
      </c>
      <c r="E61" s="6"/>
      <c r="F61" s="9"/>
      <c r="G61" s="9"/>
      <c r="H61" s="9"/>
      <c r="I61" s="27" t="n">
        <v>3.5</v>
      </c>
      <c r="J61" s="27" t="n">
        <v>4.7</v>
      </c>
      <c r="K61" s="9"/>
      <c r="L61" s="9"/>
      <c r="M61" s="9"/>
    </row>
    <row r="62" customFormat="false" ht="12.75" hidden="false" customHeight="true" outlineLevel="0" collapsed="false">
      <c r="A62" s="29" t="s">
        <v>66</v>
      </c>
      <c r="B62" s="9" t="s">
        <v>143</v>
      </c>
      <c r="C62" s="26" t="s">
        <v>144</v>
      </c>
      <c r="D62" s="6" t="s">
        <v>47</v>
      </c>
      <c r="E62" s="6"/>
      <c r="F62" s="9"/>
      <c r="G62" s="9"/>
      <c r="H62" s="9"/>
      <c r="I62" s="27" t="n">
        <v>3.5</v>
      </c>
      <c r="J62" s="27" t="n">
        <v>0</v>
      </c>
      <c r="K62" s="9"/>
      <c r="L62" s="9"/>
      <c r="M62" s="9"/>
    </row>
    <row r="63" customFormat="false" ht="12.75" hidden="false" customHeight="true" outlineLevel="0" collapsed="false">
      <c r="A63" s="29" t="s">
        <v>66</v>
      </c>
      <c r="B63" s="9" t="s">
        <v>149</v>
      </c>
      <c r="C63" s="36" t="s">
        <v>160</v>
      </c>
      <c r="D63" s="6" t="s">
        <v>47</v>
      </c>
      <c r="E63" s="6"/>
      <c r="F63" s="9"/>
      <c r="G63" s="9"/>
      <c r="H63" s="9"/>
      <c r="I63" s="27" t="n">
        <v>11</v>
      </c>
      <c r="J63" s="27" t="n">
        <v>50</v>
      </c>
      <c r="K63" s="9"/>
      <c r="L63" s="9"/>
      <c r="M63" s="9"/>
    </row>
    <row r="64" customFormat="false" ht="12.75" hidden="false" customHeight="true" outlineLevel="0" collapsed="false">
      <c r="A64" s="29" t="s">
        <v>66</v>
      </c>
      <c r="B64" s="9" t="s">
        <v>151</v>
      </c>
      <c r="C64" s="26" t="s">
        <v>152</v>
      </c>
      <c r="D64" s="6" t="s">
        <v>47</v>
      </c>
      <c r="E64" s="6"/>
      <c r="F64" s="9"/>
      <c r="G64" s="9"/>
      <c r="H64" s="9"/>
      <c r="I64" s="27" t="n">
        <v>11</v>
      </c>
      <c r="J64" s="27" t="n">
        <v>50</v>
      </c>
      <c r="K64" s="9"/>
      <c r="L64" s="9"/>
      <c r="M64" s="9"/>
    </row>
    <row r="65" customFormat="false" ht="12.75" hidden="false" customHeight="true" outlineLevel="0" collapsed="false">
      <c r="A65" s="29" t="s">
        <v>66</v>
      </c>
      <c r="B65" s="9" t="s">
        <v>110</v>
      </c>
      <c r="C65" s="36" t="s">
        <v>63</v>
      </c>
      <c r="D65" s="6" t="s">
        <v>47</v>
      </c>
      <c r="E65" s="6"/>
      <c r="F65" s="9"/>
      <c r="G65" s="9"/>
      <c r="H65" s="9"/>
      <c r="I65" s="27" t="n">
        <v>11</v>
      </c>
      <c r="J65" s="27" t="n">
        <v>63</v>
      </c>
      <c r="K65" s="9"/>
      <c r="L65" s="9"/>
      <c r="M65" s="9"/>
    </row>
    <row r="66" customFormat="false" ht="12.75" hidden="false" customHeight="true" outlineLevel="0" collapsed="false">
      <c r="A66" s="29" t="s">
        <v>66</v>
      </c>
      <c r="B66" s="9" t="s">
        <v>153</v>
      </c>
      <c r="C66" s="36" t="s">
        <v>153</v>
      </c>
      <c r="D66" s="6" t="s">
        <v>45</v>
      </c>
      <c r="E66" s="6"/>
      <c r="F66" s="9"/>
      <c r="G66" s="9"/>
      <c r="H66" s="9"/>
      <c r="I66" s="27" t="n">
        <v>14</v>
      </c>
      <c r="J66" s="27" t="n">
        <v>12</v>
      </c>
      <c r="K66" s="9"/>
      <c r="L66" s="9"/>
      <c r="M66" s="9"/>
    </row>
    <row r="67" customFormat="false" ht="12.75" hidden="false" customHeight="true" outlineLevel="0" collapsed="false">
      <c r="A67" s="29" t="s">
        <v>66</v>
      </c>
      <c r="B67" s="9" t="s">
        <v>111</v>
      </c>
      <c r="C67" s="36" t="s">
        <v>161</v>
      </c>
      <c r="D67" s="6" t="s">
        <v>49</v>
      </c>
      <c r="E67" s="6"/>
      <c r="F67" s="9"/>
      <c r="G67" s="9"/>
      <c r="H67" s="9"/>
      <c r="I67" s="27" t="n">
        <v>0.145</v>
      </c>
      <c r="J67" s="27" t="n">
        <v>0.78</v>
      </c>
      <c r="K67" s="9"/>
      <c r="L67" s="9"/>
      <c r="M67" s="9"/>
    </row>
    <row r="68" customFormat="false" ht="12.75" hidden="false" customHeight="true" outlineLevel="0" collapsed="false">
      <c r="A68" s="29" t="s">
        <v>66</v>
      </c>
      <c r="B68" s="9" t="s">
        <v>111</v>
      </c>
      <c r="C68" s="36" t="s">
        <v>154</v>
      </c>
      <c r="D68" s="6" t="s">
        <v>49</v>
      </c>
      <c r="E68" s="6"/>
      <c r="F68" s="9"/>
      <c r="G68" s="9"/>
      <c r="H68" s="9"/>
      <c r="I68" s="27" t="n">
        <v>0.145</v>
      </c>
      <c r="J68" s="27" t="n">
        <v>0.78</v>
      </c>
      <c r="K68" s="9"/>
      <c r="L68" s="9"/>
      <c r="M68" s="9"/>
    </row>
    <row r="69" customFormat="false" ht="12.75" hidden="false" customHeight="true" outlineLevel="0" collapsed="false">
      <c r="A69" s="29" t="s">
        <v>66</v>
      </c>
      <c r="B69" s="9" t="s">
        <v>111</v>
      </c>
      <c r="C69" s="36" t="s">
        <v>162</v>
      </c>
      <c r="D69" s="6" t="s">
        <v>49</v>
      </c>
      <c r="E69" s="6"/>
      <c r="F69" s="9"/>
      <c r="G69" s="9"/>
      <c r="H69" s="9"/>
      <c r="I69" s="27" t="n">
        <v>0.145</v>
      </c>
      <c r="J69" s="27" t="n">
        <v>0.78</v>
      </c>
      <c r="K69" s="9"/>
      <c r="L69" s="9"/>
      <c r="M69" s="9"/>
    </row>
    <row r="70" customFormat="false" ht="12.75" hidden="false" customHeight="true" outlineLevel="0" collapsed="false">
      <c r="A70" s="29" t="s">
        <v>66</v>
      </c>
      <c r="B70" s="9" t="s">
        <v>115</v>
      </c>
      <c r="C70" s="26" t="s">
        <v>116</v>
      </c>
      <c r="D70" s="6" t="s">
        <v>49</v>
      </c>
      <c r="E70" s="6"/>
      <c r="F70" s="9"/>
      <c r="G70" s="9"/>
      <c r="H70" s="9"/>
      <c r="I70" s="27" t="n">
        <v>0.12</v>
      </c>
      <c r="J70" s="27" t="n">
        <v>0.908</v>
      </c>
      <c r="K70" s="9"/>
      <c r="L70" s="9"/>
      <c r="M70" s="9"/>
    </row>
    <row r="71" customFormat="false" ht="12.75" hidden="false" customHeight="true" outlineLevel="0" collapsed="false">
      <c r="A71" s="29" t="s">
        <v>66</v>
      </c>
      <c r="B71" s="9" t="s">
        <v>163</v>
      </c>
      <c r="C71" s="29" t="s">
        <v>164</v>
      </c>
      <c r="D71" s="6" t="s">
        <v>39</v>
      </c>
      <c r="E71" s="6"/>
      <c r="F71" s="9"/>
      <c r="G71" s="9"/>
      <c r="H71" s="9"/>
      <c r="I71" s="27" t="n">
        <v>0</v>
      </c>
      <c r="J71" s="27" t="n">
        <v>11.75</v>
      </c>
      <c r="K71" s="9"/>
      <c r="L71" s="9"/>
      <c r="M71" s="9"/>
    </row>
    <row r="72" customFormat="false" ht="12.75" hidden="false" customHeight="true" outlineLevel="0" collapsed="false">
      <c r="A72" s="37" t="s">
        <v>64</v>
      </c>
      <c r="B72" s="37" t="s">
        <v>110</v>
      </c>
      <c r="C72" s="38" t="s">
        <v>63</v>
      </c>
      <c r="D72" s="39" t="s">
        <v>47</v>
      </c>
      <c r="E72" s="39"/>
      <c r="F72" s="37"/>
      <c r="G72" s="37"/>
      <c r="H72" s="37"/>
      <c r="I72" s="40" t="n">
        <v>11</v>
      </c>
      <c r="J72" s="40" t="n">
        <v>63</v>
      </c>
      <c r="K72" s="9"/>
      <c r="L72" s="9"/>
      <c r="M72" s="9"/>
    </row>
    <row r="73" customFormat="false" ht="12.75" hidden="false" customHeight="true" outlineLevel="0" collapsed="false">
      <c r="A73" s="37" t="s">
        <v>64</v>
      </c>
      <c r="B73" s="37" t="s">
        <v>153</v>
      </c>
      <c r="C73" s="38" t="s">
        <v>153</v>
      </c>
      <c r="D73" s="39" t="s">
        <v>45</v>
      </c>
      <c r="E73" s="39"/>
      <c r="F73" s="37"/>
      <c r="G73" s="37"/>
      <c r="H73" s="37"/>
      <c r="I73" s="40" t="n">
        <v>14</v>
      </c>
      <c r="J73" s="40" t="n">
        <v>12</v>
      </c>
      <c r="K73" s="9"/>
      <c r="L73" s="9"/>
      <c r="M73" s="9"/>
    </row>
    <row r="74" customFormat="false" ht="12.75" hidden="false" customHeight="true" outlineLevel="0" collapsed="false">
      <c r="A74" s="37" t="s">
        <v>64</v>
      </c>
      <c r="B74" s="37" t="s">
        <v>111</v>
      </c>
      <c r="C74" s="38" t="s">
        <v>161</v>
      </c>
      <c r="D74" s="39" t="s">
        <v>49</v>
      </c>
      <c r="E74" s="39"/>
      <c r="F74" s="37"/>
      <c r="G74" s="37"/>
      <c r="H74" s="37"/>
      <c r="I74" s="40" t="n">
        <v>0.145</v>
      </c>
      <c r="J74" s="40" t="n">
        <v>0.78</v>
      </c>
      <c r="K74" s="9"/>
      <c r="L74" s="9"/>
      <c r="M74" s="9"/>
    </row>
    <row r="75" customFormat="false" ht="12.75" hidden="false" customHeight="true" outlineLevel="0" collapsed="false">
      <c r="A75" s="37" t="s">
        <v>64</v>
      </c>
      <c r="B75" s="37" t="s">
        <v>111</v>
      </c>
      <c r="C75" s="38" t="s">
        <v>154</v>
      </c>
      <c r="D75" s="39" t="s">
        <v>49</v>
      </c>
      <c r="E75" s="39"/>
      <c r="F75" s="37"/>
      <c r="G75" s="37"/>
      <c r="H75" s="37"/>
      <c r="I75" s="40" t="n">
        <v>0.145</v>
      </c>
      <c r="J75" s="40" t="n">
        <v>0.78</v>
      </c>
      <c r="K75" s="9"/>
      <c r="L75" s="9"/>
      <c r="M75" s="9"/>
    </row>
    <row r="76" customFormat="false" ht="12.75" hidden="false" customHeight="true" outlineLevel="0" collapsed="false">
      <c r="A76" s="37" t="s">
        <v>64</v>
      </c>
      <c r="B76" s="37" t="s">
        <v>111</v>
      </c>
      <c r="C76" s="38" t="s">
        <v>162</v>
      </c>
      <c r="D76" s="39" t="s">
        <v>49</v>
      </c>
      <c r="E76" s="39"/>
      <c r="F76" s="37"/>
      <c r="G76" s="37"/>
      <c r="H76" s="37"/>
      <c r="I76" s="40" t="n">
        <v>0.145</v>
      </c>
      <c r="J76" s="40" t="n">
        <v>0.78</v>
      </c>
      <c r="K76" s="9"/>
      <c r="L76" s="9"/>
      <c r="M76" s="9"/>
    </row>
    <row r="77" customFormat="false" ht="12.75" hidden="false" customHeight="true" outlineLevel="0" collapsed="false">
      <c r="A77" s="37" t="s">
        <v>64</v>
      </c>
      <c r="B77" s="37" t="s">
        <v>115</v>
      </c>
      <c r="C77" s="41" t="s">
        <v>116</v>
      </c>
      <c r="D77" s="39" t="s">
        <v>49</v>
      </c>
      <c r="E77" s="39"/>
      <c r="F77" s="37"/>
      <c r="G77" s="37"/>
      <c r="H77" s="37"/>
      <c r="I77" s="40" t="n">
        <v>0.12</v>
      </c>
      <c r="J77" s="40" t="n">
        <v>0.908</v>
      </c>
      <c r="K77" s="9"/>
      <c r="L77" s="9"/>
      <c r="M77" s="9"/>
    </row>
    <row r="78" customFormat="false" ht="12.75" hidden="false" customHeight="true" outlineLevel="0" collapsed="false">
      <c r="A78" s="37" t="s">
        <v>64</v>
      </c>
      <c r="B78" s="37" t="s">
        <v>163</v>
      </c>
      <c r="C78" s="42" t="s">
        <v>164</v>
      </c>
      <c r="D78" s="39" t="s">
        <v>39</v>
      </c>
      <c r="E78" s="39"/>
      <c r="F78" s="37"/>
      <c r="G78" s="37"/>
      <c r="H78" s="37"/>
      <c r="I78" s="40" t="n">
        <v>0</v>
      </c>
      <c r="J78" s="40" t="n">
        <v>11.75</v>
      </c>
      <c r="K78" s="9"/>
      <c r="L78" s="9"/>
      <c r="M78" s="9"/>
    </row>
    <row r="79" customFormat="false" ht="12.75" hidden="false" customHeight="true" outlineLevel="0" collapsed="false">
      <c r="A79" s="37" t="s">
        <v>64</v>
      </c>
      <c r="B79" s="37" t="s">
        <v>163</v>
      </c>
      <c r="C79" s="42" t="s">
        <v>165</v>
      </c>
      <c r="D79" s="39" t="s">
        <v>39</v>
      </c>
      <c r="E79" s="39"/>
      <c r="F79" s="37"/>
      <c r="G79" s="37"/>
      <c r="H79" s="37"/>
      <c r="I79" s="40" t="n">
        <v>0</v>
      </c>
      <c r="J79" s="40" t="n">
        <v>11.75</v>
      </c>
      <c r="K79" s="9"/>
      <c r="L79" s="9"/>
      <c r="M79" s="9"/>
    </row>
    <row r="80" customFormat="false" ht="12.75" hidden="false" customHeight="true" outlineLevel="0" collapsed="false">
      <c r="A80" s="9" t="s">
        <v>166</v>
      </c>
      <c r="B80" s="9" t="s">
        <v>110</v>
      </c>
      <c r="C80" s="26" t="s">
        <v>167</v>
      </c>
      <c r="D80" s="6" t="s">
        <v>47</v>
      </c>
      <c r="E80" s="6"/>
      <c r="F80" s="9"/>
      <c r="G80" s="9"/>
      <c r="H80" s="9"/>
      <c r="I80" s="27" t="n">
        <v>7</v>
      </c>
      <c r="J80" s="27" t="n">
        <v>55</v>
      </c>
      <c r="K80" s="9"/>
      <c r="L80" s="9"/>
      <c r="M80" s="9"/>
    </row>
    <row r="81" customFormat="false" ht="12.75" hidden="false" customHeight="true" outlineLevel="0" collapsed="false">
      <c r="A81" s="9" t="s">
        <v>166</v>
      </c>
      <c r="B81" s="9" t="s">
        <v>153</v>
      </c>
      <c r="C81" s="36" t="s">
        <v>168</v>
      </c>
      <c r="D81" s="6" t="s">
        <v>45</v>
      </c>
      <c r="E81" s="6"/>
      <c r="F81" s="9"/>
      <c r="G81" s="9"/>
      <c r="H81" s="9"/>
      <c r="I81" s="27" t="n">
        <v>8</v>
      </c>
      <c r="J81" s="27" t="n">
        <v>12</v>
      </c>
      <c r="K81" s="9"/>
      <c r="L81" s="9"/>
      <c r="M81" s="9"/>
    </row>
    <row r="82" customFormat="false" ht="12.75" hidden="false" customHeight="true" outlineLevel="0" collapsed="false">
      <c r="A82" s="9" t="s">
        <v>166</v>
      </c>
      <c r="B82" s="9" t="s">
        <v>111</v>
      </c>
      <c r="C82" s="36" t="s">
        <v>112</v>
      </c>
      <c r="D82" s="6" t="s">
        <v>49</v>
      </c>
      <c r="E82" s="6"/>
      <c r="F82" s="9"/>
      <c r="G82" s="9"/>
      <c r="H82" s="9"/>
      <c r="I82" s="27" t="n">
        <v>0.12</v>
      </c>
      <c r="J82" s="27" t="n">
        <v>0.78</v>
      </c>
      <c r="K82" s="9"/>
      <c r="L82" s="9"/>
      <c r="M82" s="9"/>
    </row>
    <row r="83" customFormat="false" ht="12.75" hidden="false" customHeight="true" outlineLevel="0" collapsed="false">
      <c r="A83" s="9" t="s">
        <v>166</v>
      </c>
      <c r="B83" s="9" t="s">
        <v>111</v>
      </c>
      <c r="C83" s="36" t="s">
        <v>154</v>
      </c>
      <c r="D83" s="6" t="s">
        <v>49</v>
      </c>
      <c r="E83" s="6"/>
      <c r="F83" s="9"/>
      <c r="G83" s="9"/>
      <c r="H83" s="9"/>
      <c r="I83" s="27" t="n">
        <v>0.12</v>
      </c>
      <c r="J83" s="27" t="n">
        <v>0.78</v>
      </c>
      <c r="K83" s="9"/>
      <c r="L83" s="9"/>
      <c r="M83" s="9"/>
    </row>
    <row r="84" customFormat="false" ht="12.75" hidden="false" customHeight="true" outlineLevel="0" collapsed="false">
      <c r="A84" s="9" t="s">
        <v>166</v>
      </c>
      <c r="B84" s="9" t="s">
        <v>111</v>
      </c>
      <c r="C84" s="36" t="s">
        <v>113</v>
      </c>
      <c r="D84" s="6" t="s">
        <v>49</v>
      </c>
      <c r="E84" s="6"/>
      <c r="F84" s="9"/>
      <c r="G84" s="9"/>
      <c r="H84" s="9"/>
      <c r="I84" s="27" t="n">
        <v>0.12</v>
      </c>
      <c r="J84" s="27" t="n">
        <v>0.78</v>
      </c>
      <c r="K84" s="9"/>
      <c r="L84" s="9"/>
      <c r="M84" s="9"/>
    </row>
    <row r="85" customFormat="false" ht="12.75" hidden="false" customHeight="true" outlineLevel="0" collapsed="false">
      <c r="A85" s="9" t="s">
        <v>166</v>
      </c>
      <c r="B85" s="9" t="s">
        <v>111</v>
      </c>
      <c r="C85" s="26" t="s">
        <v>114</v>
      </c>
      <c r="D85" s="6" t="s">
        <v>49</v>
      </c>
      <c r="E85" s="6"/>
      <c r="F85" s="9"/>
      <c r="G85" s="9"/>
      <c r="H85" s="9"/>
      <c r="I85" s="27" t="n">
        <v>0.12</v>
      </c>
      <c r="J85" s="27" t="n">
        <v>0.78</v>
      </c>
      <c r="K85" s="9"/>
      <c r="L85" s="9"/>
      <c r="M85" s="9"/>
    </row>
    <row r="86" customFormat="false" ht="12.75" hidden="false" customHeight="true" outlineLevel="0" collapsed="false">
      <c r="A86" s="9" t="s">
        <v>166</v>
      </c>
      <c r="B86" s="9" t="s">
        <v>111</v>
      </c>
      <c r="C86" s="26" t="s">
        <v>156</v>
      </c>
      <c r="D86" s="6" t="s">
        <v>49</v>
      </c>
      <c r="E86" s="6"/>
      <c r="F86" s="9"/>
      <c r="G86" s="9"/>
      <c r="H86" s="9"/>
      <c r="I86" s="27" t="n">
        <v>0.12</v>
      </c>
      <c r="J86" s="27" t="n">
        <v>0.78</v>
      </c>
      <c r="K86" s="9"/>
      <c r="L86" s="9"/>
      <c r="M86" s="9"/>
    </row>
    <row r="87" customFormat="false" ht="12.75" hidden="false" customHeight="true" outlineLevel="0" collapsed="false">
      <c r="A87" s="9" t="s">
        <v>166</v>
      </c>
      <c r="B87" s="9" t="s">
        <v>111</v>
      </c>
      <c r="C87" s="26" t="s">
        <v>169</v>
      </c>
      <c r="D87" s="6" t="s">
        <v>49</v>
      </c>
      <c r="E87" s="6"/>
      <c r="F87" s="9"/>
      <c r="G87" s="9"/>
      <c r="H87" s="9"/>
      <c r="I87" s="27" t="n">
        <v>0.12</v>
      </c>
      <c r="J87" s="27" t="n">
        <v>0.78</v>
      </c>
      <c r="K87" s="9"/>
      <c r="L87" s="9"/>
      <c r="M87" s="9"/>
    </row>
    <row r="88" customFormat="false" ht="12.75" hidden="false" customHeight="true" outlineLevel="0" collapsed="false">
      <c r="A88" s="9" t="s">
        <v>166</v>
      </c>
      <c r="B88" s="9" t="s">
        <v>115</v>
      </c>
      <c r="C88" s="26" t="s">
        <v>116</v>
      </c>
      <c r="D88" s="6" t="s">
        <v>49</v>
      </c>
      <c r="E88" s="6"/>
      <c r="F88" s="9"/>
      <c r="G88" s="9"/>
      <c r="H88" s="9"/>
      <c r="I88" s="27" t="n">
        <v>0.12</v>
      </c>
      <c r="J88" s="27" t="n">
        <v>0.908</v>
      </c>
      <c r="K88" s="9"/>
      <c r="L88" s="9"/>
      <c r="M88" s="9"/>
    </row>
    <row r="89" customFormat="false" ht="12.75" hidden="false" customHeight="true" outlineLevel="0" collapsed="false">
      <c r="A89" s="9" t="s">
        <v>170</v>
      </c>
      <c r="B89" s="9" t="s">
        <v>110</v>
      </c>
      <c r="C89" s="26" t="s">
        <v>167</v>
      </c>
      <c r="D89" s="6" t="s">
        <v>47</v>
      </c>
      <c r="E89" s="6"/>
      <c r="F89" s="9"/>
      <c r="G89" s="9"/>
      <c r="H89" s="9"/>
      <c r="I89" s="27" t="n">
        <v>7</v>
      </c>
      <c r="J89" s="27" t="n">
        <v>55</v>
      </c>
      <c r="K89" s="9"/>
      <c r="L89" s="9"/>
      <c r="M89" s="9"/>
    </row>
    <row r="90" customFormat="false" ht="12.75" hidden="false" customHeight="true" outlineLevel="0" collapsed="false">
      <c r="A90" s="9" t="s">
        <v>170</v>
      </c>
      <c r="B90" s="9" t="s">
        <v>110</v>
      </c>
      <c r="C90" s="26" t="s">
        <v>171</v>
      </c>
      <c r="D90" s="6" t="s">
        <v>47</v>
      </c>
      <c r="E90" s="6"/>
      <c r="F90" s="9"/>
      <c r="G90" s="9"/>
      <c r="H90" s="9"/>
      <c r="I90" s="27" t="n">
        <v>7</v>
      </c>
      <c r="J90" s="27" t="n">
        <v>63</v>
      </c>
      <c r="K90" s="9"/>
      <c r="L90" s="9"/>
      <c r="M90" s="9"/>
    </row>
    <row r="91" customFormat="false" ht="12.75" hidden="false" customHeight="true" outlineLevel="0" collapsed="false">
      <c r="A91" s="9" t="s">
        <v>170</v>
      </c>
      <c r="B91" s="9" t="s">
        <v>153</v>
      </c>
      <c r="C91" s="26" t="s">
        <v>153</v>
      </c>
      <c r="D91" s="6" t="s">
        <v>45</v>
      </c>
      <c r="E91" s="6"/>
      <c r="F91" s="9"/>
      <c r="G91" s="9"/>
      <c r="H91" s="9"/>
      <c r="I91" s="27" t="n">
        <v>8</v>
      </c>
      <c r="J91" s="27" t="n">
        <v>12</v>
      </c>
      <c r="K91" s="9"/>
      <c r="L91" s="9"/>
      <c r="M91" s="9"/>
    </row>
    <row r="92" customFormat="false" ht="12.75" hidden="false" customHeight="true" outlineLevel="0" collapsed="false">
      <c r="A92" s="9" t="s">
        <v>170</v>
      </c>
      <c r="B92" s="9" t="s">
        <v>172</v>
      </c>
      <c r="C92" s="26" t="s">
        <v>173</v>
      </c>
      <c r="D92" s="6" t="s">
        <v>45</v>
      </c>
      <c r="E92" s="6"/>
      <c r="F92" s="9"/>
      <c r="G92" s="9"/>
      <c r="H92" s="9"/>
      <c r="I92" s="27" t="n">
        <v>13.8</v>
      </c>
      <c r="J92" s="27" t="n">
        <v>3</v>
      </c>
      <c r="K92" s="9"/>
      <c r="L92" s="9"/>
      <c r="M92" s="9"/>
    </row>
    <row r="93" customFormat="false" ht="12.75" hidden="false" customHeight="true" outlineLevel="0" collapsed="false">
      <c r="A93" s="9" t="s">
        <v>170</v>
      </c>
      <c r="B93" s="9" t="s">
        <v>111</v>
      </c>
      <c r="C93" s="26" t="s">
        <v>112</v>
      </c>
      <c r="D93" s="6" t="s">
        <v>49</v>
      </c>
      <c r="E93" s="6"/>
      <c r="F93" s="9"/>
      <c r="G93" s="9"/>
      <c r="H93" s="9"/>
      <c r="I93" s="27" t="n">
        <v>0.12</v>
      </c>
      <c r="J93" s="27" t="n">
        <v>0.78</v>
      </c>
      <c r="K93" s="9"/>
      <c r="L93" s="9"/>
      <c r="M93" s="9"/>
    </row>
    <row r="94" customFormat="false" ht="12.75" hidden="false" customHeight="true" outlineLevel="0" collapsed="false">
      <c r="A94" s="9" t="s">
        <v>170</v>
      </c>
      <c r="B94" s="9" t="s">
        <v>111</v>
      </c>
      <c r="C94" s="26" t="s">
        <v>154</v>
      </c>
      <c r="D94" s="6" t="s">
        <v>49</v>
      </c>
      <c r="E94" s="6"/>
      <c r="F94" s="9"/>
      <c r="G94" s="9"/>
      <c r="H94" s="9"/>
      <c r="I94" s="27" t="n">
        <v>0.12</v>
      </c>
      <c r="J94" s="27" t="n">
        <v>0.78</v>
      </c>
      <c r="K94" s="9"/>
      <c r="L94" s="9"/>
      <c r="M94" s="9"/>
    </row>
    <row r="95" customFormat="false" ht="12.75" hidden="false" customHeight="true" outlineLevel="0" collapsed="false">
      <c r="A95" s="9" t="s">
        <v>170</v>
      </c>
      <c r="B95" s="9" t="s">
        <v>111</v>
      </c>
      <c r="C95" s="26" t="s">
        <v>174</v>
      </c>
      <c r="D95" s="6" t="s">
        <v>49</v>
      </c>
      <c r="E95" s="6"/>
      <c r="F95" s="9"/>
      <c r="G95" s="9"/>
      <c r="H95" s="9"/>
      <c r="I95" s="27" t="n">
        <v>0.12</v>
      </c>
      <c r="J95" s="27" t="n">
        <v>0.78</v>
      </c>
      <c r="K95" s="9"/>
      <c r="L95" s="9"/>
      <c r="M95" s="9"/>
    </row>
    <row r="96" customFormat="false" ht="12.75" hidden="false" customHeight="true" outlineLevel="0" collapsed="false">
      <c r="A96" s="9" t="s">
        <v>170</v>
      </c>
      <c r="B96" s="9" t="s">
        <v>111</v>
      </c>
      <c r="C96" s="26" t="s">
        <v>113</v>
      </c>
      <c r="D96" s="6" t="s">
        <v>49</v>
      </c>
      <c r="E96" s="6"/>
      <c r="F96" s="9"/>
      <c r="G96" s="9"/>
      <c r="H96" s="9"/>
      <c r="I96" s="27" t="n">
        <v>0.12</v>
      </c>
      <c r="J96" s="27" t="n">
        <v>0.78</v>
      </c>
      <c r="K96" s="9"/>
      <c r="L96" s="9"/>
      <c r="M96" s="9"/>
    </row>
    <row r="97" customFormat="false" ht="12.75" hidden="false" customHeight="true" outlineLevel="0" collapsed="false">
      <c r="A97" s="9" t="s">
        <v>170</v>
      </c>
      <c r="B97" s="9" t="s">
        <v>115</v>
      </c>
      <c r="C97" s="26" t="s">
        <v>116</v>
      </c>
      <c r="D97" s="6" t="s">
        <v>49</v>
      </c>
      <c r="E97" s="6"/>
      <c r="F97" s="9"/>
      <c r="G97" s="9"/>
      <c r="H97" s="9"/>
      <c r="I97" s="27" t="n">
        <v>0.12</v>
      </c>
      <c r="J97" s="27" t="n">
        <v>0.908</v>
      </c>
      <c r="K97" s="9"/>
      <c r="L97" s="9"/>
      <c r="M97" s="9"/>
    </row>
    <row r="98" customFormat="false" ht="12.75" hidden="false" customHeight="true" outlineLevel="0" collapsed="false">
      <c r="A98" s="9" t="s">
        <v>175</v>
      </c>
      <c r="B98" s="9" t="s">
        <v>110</v>
      </c>
      <c r="C98" s="26" t="s">
        <v>63</v>
      </c>
      <c r="D98" s="6" t="s">
        <v>47</v>
      </c>
      <c r="E98" s="6"/>
      <c r="F98" s="9"/>
      <c r="G98" s="9"/>
      <c r="H98" s="9"/>
      <c r="I98" s="27" t="n">
        <v>7</v>
      </c>
      <c r="J98" s="27" t="n">
        <v>63</v>
      </c>
      <c r="K98" s="9"/>
      <c r="L98" s="9"/>
      <c r="M98" s="9"/>
    </row>
    <row r="99" customFormat="false" ht="12.75" hidden="false" customHeight="true" outlineLevel="0" collapsed="false">
      <c r="A99" s="9" t="s">
        <v>175</v>
      </c>
      <c r="B99" s="9" t="s">
        <v>153</v>
      </c>
      <c r="C99" s="26" t="s">
        <v>153</v>
      </c>
      <c r="D99" s="6" t="s">
        <v>45</v>
      </c>
      <c r="E99" s="6"/>
      <c r="F99" s="9"/>
      <c r="G99" s="9"/>
      <c r="H99" s="9"/>
      <c r="I99" s="27" t="n">
        <v>8</v>
      </c>
      <c r="J99" s="27" t="n">
        <v>12</v>
      </c>
      <c r="K99" s="9"/>
      <c r="L99" s="9"/>
      <c r="M99" s="9"/>
    </row>
    <row r="100" customFormat="false" ht="12.75" hidden="false" customHeight="true" outlineLevel="0" collapsed="false">
      <c r="A100" s="9" t="s">
        <v>175</v>
      </c>
      <c r="B100" s="9" t="s">
        <v>111</v>
      </c>
      <c r="C100" s="26" t="s">
        <v>112</v>
      </c>
      <c r="D100" s="6" t="s">
        <v>49</v>
      </c>
      <c r="E100" s="6"/>
      <c r="F100" s="9"/>
      <c r="G100" s="9"/>
      <c r="H100" s="9"/>
      <c r="I100" s="27" t="n">
        <v>0.12</v>
      </c>
      <c r="J100" s="27" t="n">
        <v>0.78</v>
      </c>
      <c r="K100" s="9"/>
      <c r="L100" s="9"/>
      <c r="M100" s="9"/>
    </row>
    <row r="101" customFormat="false" ht="12.75" hidden="false" customHeight="true" outlineLevel="0" collapsed="false">
      <c r="A101" s="9" t="s">
        <v>175</v>
      </c>
      <c r="B101" s="9" t="s">
        <v>111</v>
      </c>
      <c r="C101" s="26" t="s">
        <v>176</v>
      </c>
      <c r="D101" s="6" t="s">
        <v>49</v>
      </c>
      <c r="E101" s="6"/>
      <c r="F101" s="9"/>
      <c r="G101" s="9"/>
      <c r="H101" s="9"/>
      <c r="I101" s="27" t="n">
        <v>0.12</v>
      </c>
      <c r="J101" s="27" t="n">
        <v>0.78</v>
      </c>
      <c r="K101" s="9"/>
      <c r="L101" s="9"/>
      <c r="M101" s="9"/>
    </row>
    <row r="102" customFormat="false" ht="12.75" hidden="false" customHeight="true" outlineLevel="0" collapsed="false">
      <c r="A102" s="9" t="s">
        <v>175</v>
      </c>
      <c r="B102" s="9" t="s">
        <v>111</v>
      </c>
      <c r="C102" s="26" t="s">
        <v>177</v>
      </c>
      <c r="D102" s="6" t="s">
        <v>49</v>
      </c>
      <c r="E102" s="6"/>
      <c r="F102" s="9"/>
      <c r="G102" s="9"/>
      <c r="H102" s="9"/>
      <c r="I102" s="27" t="n">
        <v>0.12</v>
      </c>
      <c r="J102" s="27" t="n">
        <v>0.78</v>
      </c>
      <c r="K102" s="9"/>
      <c r="L102" s="9"/>
      <c r="M102" s="9"/>
    </row>
    <row r="103" customFormat="false" ht="12.75" hidden="false" customHeight="true" outlineLevel="0" collapsed="false">
      <c r="A103" s="9" t="s">
        <v>175</v>
      </c>
      <c r="B103" s="9" t="s">
        <v>111</v>
      </c>
      <c r="C103" s="26" t="s">
        <v>178</v>
      </c>
      <c r="D103" s="6" t="s">
        <v>49</v>
      </c>
      <c r="E103" s="6"/>
      <c r="F103" s="9"/>
      <c r="G103" s="9"/>
      <c r="H103" s="9"/>
      <c r="I103" s="27" t="n">
        <v>0.12</v>
      </c>
      <c r="J103" s="27" t="n">
        <v>0.78</v>
      </c>
      <c r="K103" s="9"/>
      <c r="L103" s="9"/>
      <c r="M103" s="9"/>
    </row>
    <row r="104" customFormat="false" ht="12.75" hidden="false" customHeight="true" outlineLevel="0" collapsed="false">
      <c r="A104" s="9" t="s">
        <v>175</v>
      </c>
      <c r="B104" s="9" t="s">
        <v>111</v>
      </c>
      <c r="C104" s="26" t="s">
        <v>169</v>
      </c>
      <c r="D104" s="6" t="s">
        <v>49</v>
      </c>
      <c r="E104" s="6"/>
      <c r="F104" s="9"/>
      <c r="G104" s="9"/>
      <c r="H104" s="9"/>
      <c r="I104" s="27" t="n">
        <v>0.12</v>
      </c>
      <c r="J104" s="27" t="n">
        <v>0.78</v>
      </c>
      <c r="K104" s="9"/>
      <c r="L104" s="9"/>
      <c r="M104" s="9"/>
    </row>
    <row r="105" customFormat="false" ht="12.75" hidden="false" customHeight="true" outlineLevel="0" collapsed="false">
      <c r="A105" s="9" t="s">
        <v>175</v>
      </c>
      <c r="B105" s="9" t="s">
        <v>115</v>
      </c>
      <c r="C105" s="26" t="s">
        <v>116</v>
      </c>
      <c r="D105" s="6" t="s">
        <v>49</v>
      </c>
      <c r="E105" s="6"/>
      <c r="F105" s="9"/>
      <c r="G105" s="9"/>
      <c r="H105" s="9"/>
      <c r="I105" s="27" t="n">
        <v>0.12</v>
      </c>
      <c r="J105" s="27" t="n">
        <v>0.908</v>
      </c>
      <c r="K105" s="9"/>
      <c r="L105" s="9"/>
      <c r="M105" s="9"/>
    </row>
    <row r="106" customFormat="false" ht="12.75" hidden="false" customHeight="true" outlineLevel="0" collapsed="false">
      <c r="A106" s="9" t="s">
        <v>76</v>
      </c>
      <c r="B106" s="35" t="s">
        <v>110</v>
      </c>
      <c r="C106" s="36" t="s">
        <v>63</v>
      </c>
      <c r="D106" s="43" t="s">
        <v>47</v>
      </c>
      <c r="E106" s="43"/>
      <c r="F106" s="9"/>
      <c r="G106" s="9"/>
      <c r="H106" s="9"/>
      <c r="I106" s="27" t="n">
        <v>7</v>
      </c>
      <c r="J106" s="27" t="n">
        <v>63</v>
      </c>
      <c r="K106" s="9"/>
      <c r="L106" s="9"/>
      <c r="M106" s="9"/>
    </row>
    <row r="107" customFormat="false" ht="12.75" hidden="false" customHeight="true" outlineLevel="0" collapsed="false">
      <c r="A107" s="9" t="s">
        <v>76</v>
      </c>
      <c r="B107" s="35" t="s">
        <v>153</v>
      </c>
      <c r="C107" s="36" t="s">
        <v>153</v>
      </c>
      <c r="D107" s="43" t="s">
        <v>45</v>
      </c>
      <c r="E107" s="43"/>
      <c r="F107" s="9"/>
      <c r="G107" s="9"/>
      <c r="H107" s="9"/>
      <c r="I107" s="27" t="n">
        <v>8</v>
      </c>
      <c r="J107" s="27" t="n">
        <v>12</v>
      </c>
      <c r="K107" s="9"/>
      <c r="L107" s="9"/>
      <c r="M107" s="9"/>
    </row>
    <row r="108" customFormat="false" ht="12.75" hidden="false" customHeight="true" outlineLevel="0" collapsed="false">
      <c r="A108" s="9" t="s">
        <v>76</v>
      </c>
      <c r="B108" s="35" t="s">
        <v>111</v>
      </c>
      <c r="C108" s="36" t="s">
        <v>112</v>
      </c>
      <c r="D108" s="43" t="s">
        <v>49</v>
      </c>
      <c r="E108" s="43"/>
      <c r="F108" s="9"/>
      <c r="G108" s="9"/>
      <c r="H108" s="9"/>
      <c r="I108" s="27" t="n">
        <v>0.12</v>
      </c>
      <c r="J108" s="27" t="n">
        <v>0.78</v>
      </c>
      <c r="K108" s="9"/>
      <c r="L108" s="9"/>
      <c r="M108" s="9"/>
    </row>
    <row r="109" customFormat="false" ht="12.75" hidden="false" customHeight="true" outlineLevel="0" collapsed="false">
      <c r="A109" s="9" t="s">
        <v>76</v>
      </c>
      <c r="B109" s="35" t="s">
        <v>111</v>
      </c>
      <c r="C109" s="36" t="s">
        <v>154</v>
      </c>
      <c r="D109" s="43" t="s">
        <v>49</v>
      </c>
      <c r="E109" s="43"/>
      <c r="F109" s="9"/>
      <c r="G109" s="9"/>
      <c r="H109" s="9"/>
      <c r="I109" s="27" t="n">
        <v>0.12</v>
      </c>
      <c r="J109" s="27" t="n">
        <v>0.78</v>
      </c>
      <c r="K109" s="9"/>
      <c r="L109" s="9"/>
      <c r="M109" s="9"/>
    </row>
    <row r="110" customFormat="false" ht="12.75" hidden="false" customHeight="true" outlineLevel="0" collapsed="false">
      <c r="A110" s="9" t="s">
        <v>76</v>
      </c>
      <c r="B110" s="35" t="s">
        <v>111</v>
      </c>
      <c r="C110" s="36" t="s">
        <v>174</v>
      </c>
      <c r="D110" s="43" t="s">
        <v>49</v>
      </c>
      <c r="E110" s="43"/>
      <c r="F110" s="9"/>
      <c r="G110" s="9"/>
      <c r="H110" s="9"/>
      <c r="I110" s="27" t="n">
        <v>0.12</v>
      </c>
      <c r="J110" s="27" t="n">
        <v>0.78</v>
      </c>
      <c r="K110" s="9"/>
      <c r="L110" s="9"/>
      <c r="M110" s="9"/>
    </row>
    <row r="111" customFormat="false" ht="12.75" hidden="false" customHeight="true" outlineLevel="0" collapsed="false">
      <c r="A111" s="9" t="s">
        <v>76</v>
      </c>
      <c r="B111" s="35" t="s">
        <v>111</v>
      </c>
      <c r="C111" s="36" t="s">
        <v>113</v>
      </c>
      <c r="D111" s="43" t="s">
        <v>49</v>
      </c>
      <c r="E111" s="43"/>
      <c r="F111" s="9"/>
      <c r="G111" s="9"/>
      <c r="H111" s="9"/>
      <c r="I111" s="27" t="n">
        <v>0.12</v>
      </c>
      <c r="J111" s="27" t="n">
        <v>0.78</v>
      </c>
      <c r="K111" s="9"/>
      <c r="L111" s="9"/>
      <c r="M111" s="9"/>
    </row>
    <row r="112" customFormat="false" ht="12.75" hidden="false" customHeight="true" outlineLevel="0" collapsed="false">
      <c r="A112" s="9" t="s">
        <v>76</v>
      </c>
      <c r="B112" s="35" t="s">
        <v>111</v>
      </c>
      <c r="C112" s="36" t="s">
        <v>176</v>
      </c>
      <c r="D112" s="43" t="s">
        <v>49</v>
      </c>
      <c r="E112" s="43"/>
      <c r="F112" s="9"/>
      <c r="G112" s="9"/>
      <c r="H112" s="9"/>
      <c r="I112" s="27" t="n">
        <v>0.12</v>
      </c>
      <c r="J112" s="27" t="n">
        <v>0.78</v>
      </c>
      <c r="K112" s="9"/>
      <c r="L112" s="9"/>
      <c r="M112" s="9"/>
    </row>
    <row r="113" customFormat="false" ht="12.75" hidden="false" customHeight="true" outlineLevel="0" collapsed="false">
      <c r="A113" s="9" t="s">
        <v>76</v>
      </c>
      <c r="B113" s="35" t="s">
        <v>111</v>
      </c>
      <c r="C113" s="36" t="s">
        <v>116</v>
      </c>
      <c r="D113" s="43" t="s">
        <v>49</v>
      </c>
      <c r="E113" s="43"/>
      <c r="F113" s="9"/>
      <c r="G113" s="9"/>
      <c r="H113" s="9"/>
      <c r="I113" s="27" t="n">
        <v>0.12</v>
      </c>
      <c r="J113" s="27" t="n">
        <v>0.78</v>
      </c>
      <c r="K113" s="9"/>
      <c r="L113" s="9"/>
      <c r="M113" s="9"/>
    </row>
    <row r="114" customFormat="false" ht="12.75" hidden="false" customHeight="true" outlineLevel="0" collapsed="false">
      <c r="A114" s="9" t="s">
        <v>179</v>
      </c>
      <c r="B114" s="35" t="s">
        <v>110</v>
      </c>
      <c r="C114" s="36" t="s">
        <v>63</v>
      </c>
      <c r="D114" s="43" t="s">
        <v>47</v>
      </c>
      <c r="E114" s="43"/>
      <c r="F114" s="9"/>
      <c r="G114" s="9"/>
      <c r="H114" s="9"/>
      <c r="I114" s="27" t="n">
        <v>7</v>
      </c>
      <c r="J114" s="27" t="n">
        <v>63</v>
      </c>
      <c r="K114" s="9"/>
      <c r="L114" s="9"/>
      <c r="M114" s="9"/>
    </row>
    <row r="115" customFormat="false" ht="12.75" hidden="false" customHeight="true" outlineLevel="0" collapsed="false">
      <c r="A115" s="9" t="s">
        <v>179</v>
      </c>
      <c r="B115" s="35" t="s">
        <v>153</v>
      </c>
      <c r="C115" s="36" t="s">
        <v>153</v>
      </c>
      <c r="D115" s="43" t="s">
        <v>45</v>
      </c>
      <c r="E115" s="43"/>
      <c r="F115" s="9"/>
      <c r="G115" s="9"/>
      <c r="H115" s="9"/>
      <c r="I115" s="27" t="n">
        <v>8</v>
      </c>
      <c r="J115" s="27" t="n">
        <v>12</v>
      </c>
      <c r="K115" s="9"/>
      <c r="L115" s="9"/>
      <c r="M115" s="9"/>
    </row>
    <row r="116" customFormat="false" ht="12.75" hidden="false" customHeight="true" outlineLevel="0" collapsed="false">
      <c r="A116" s="9" t="s">
        <v>179</v>
      </c>
      <c r="B116" s="35" t="s">
        <v>111</v>
      </c>
      <c r="C116" s="36" t="s">
        <v>112</v>
      </c>
      <c r="D116" s="43" t="s">
        <v>49</v>
      </c>
      <c r="E116" s="43"/>
      <c r="F116" s="9"/>
      <c r="G116" s="9"/>
      <c r="H116" s="9"/>
      <c r="I116" s="27" t="n">
        <v>0.12</v>
      </c>
      <c r="J116" s="27" t="n">
        <v>0.78</v>
      </c>
      <c r="K116" s="9"/>
      <c r="L116" s="9"/>
      <c r="M116" s="9"/>
    </row>
    <row r="117" customFormat="false" ht="12.75" hidden="false" customHeight="true" outlineLevel="0" collapsed="false">
      <c r="A117" s="9" t="s">
        <v>180</v>
      </c>
      <c r="B117" s="9" t="s">
        <v>110</v>
      </c>
      <c r="C117" s="26" t="s">
        <v>167</v>
      </c>
      <c r="D117" s="6" t="s">
        <v>47</v>
      </c>
      <c r="E117" s="6"/>
      <c r="F117" s="9"/>
      <c r="G117" s="9"/>
      <c r="H117" s="9"/>
      <c r="I117" s="27" t="n">
        <v>7</v>
      </c>
      <c r="J117" s="27" t="n">
        <v>55</v>
      </c>
      <c r="K117" s="9"/>
      <c r="L117" s="9"/>
      <c r="M117" s="9"/>
    </row>
    <row r="118" customFormat="false" ht="12.75" hidden="false" customHeight="true" outlineLevel="0" collapsed="false">
      <c r="A118" s="9" t="s">
        <v>180</v>
      </c>
      <c r="B118" s="9" t="s">
        <v>110</v>
      </c>
      <c r="C118" s="26" t="s">
        <v>171</v>
      </c>
      <c r="D118" s="44" t="s">
        <v>47</v>
      </c>
      <c r="E118" s="44"/>
      <c r="F118" s="9"/>
      <c r="G118" s="9"/>
      <c r="H118" s="9"/>
      <c r="I118" s="27" t="n">
        <v>7</v>
      </c>
      <c r="J118" s="27" t="n">
        <v>61</v>
      </c>
      <c r="K118" s="9"/>
      <c r="L118" s="9"/>
      <c r="M118" s="9"/>
    </row>
    <row r="119" customFormat="false" ht="12.75" hidden="false" customHeight="true" outlineLevel="0" collapsed="false">
      <c r="A119" s="9" t="s">
        <v>180</v>
      </c>
      <c r="B119" s="35" t="s">
        <v>153</v>
      </c>
      <c r="C119" s="35" t="s">
        <v>153</v>
      </c>
      <c r="D119" s="6" t="s">
        <v>45</v>
      </c>
      <c r="E119" s="6"/>
      <c r="F119" s="9"/>
      <c r="G119" s="9"/>
      <c r="H119" s="9"/>
      <c r="I119" s="27" t="n">
        <v>8</v>
      </c>
      <c r="J119" s="27" t="n">
        <v>12</v>
      </c>
      <c r="K119" s="9"/>
      <c r="L119" s="9"/>
      <c r="M119" s="9"/>
    </row>
    <row r="120" customFormat="false" ht="12.75" hidden="false" customHeight="true" outlineLevel="0" collapsed="false">
      <c r="A120" s="9" t="s">
        <v>180</v>
      </c>
      <c r="B120" s="35" t="s">
        <v>111</v>
      </c>
      <c r="C120" s="45" t="s">
        <v>112</v>
      </c>
      <c r="D120" s="43" t="s">
        <v>49</v>
      </c>
      <c r="E120" s="43"/>
      <c r="F120" s="9"/>
      <c r="G120" s="9"/>
      <c r="H120" s="9"/>
      <c r="I120" s="27" t="n">
        <v>0.12</v>
      </c>
      <c r="J120" s="27" t="n">
        <v>0.78</v>
      </c>
      <c r="K120" s="9"/>
      <c r="L120" s="9"/>
      <c r="M120" s="9"/>
    </row>
    <row r="121" customFormat="false" ht="12.75" hidden="false" customHeight="true" outlineLevel="0" collapsed="false">
      <c r="A121" s="9" t="s">
        <v>180</v>
      </c>
      <c r="B121" s="35" t="s">
        <v>111</v>
      </c>
      <c r="C121" s="45" t="s">
        <v>154</v>
      </c>
      <c r="D121" s="43" t="s">
        <v>49</v>
      </c>
      <c r="E121" s="43"/>
      <c r="F121" s="9"/>
      <c r="G121" s="9"/>
      <c r="H121" s="9"/>
      <c r="I121" s="27" t="n">
        <v>0.12</v>
      </c>
      <c r="J121" s="27" t="n">
        <v>0.78</v>
      </c>
      <c r="K121" s="9"/>
      <c r="L121" s="9"/>
      <c r="M121" s="9"/>
    </row>
    <row r="122" customFormat="false" ht="12.75" hidden="false" customHeight="true" outlineLevel="0" collapsed="false">
      <c r="A122" s="9" t="s">
        <v>180</v>
      </c>
      <c r="B122" s="35" t="s">
        <v>111</v>
      </c>
      <c r="C122" s="36" t="s">
        <v>113</v>
      </c>
      <c r="D122" s="43" t="s">
        <v>49</v>
      </c>
      <c r="E122" s="43"/>
      <c r="F122" s="9"/>
      <c r="G122" s="9"/>
      <c r="H122" s="9"/>
      <c r="I122" s="27" t="n">
        <v>0.12</v>
      </c>
      <c r="J122" s="27" t="n">
        <v>0.78</v>
      </c>
      <c r="K122" s="9"/>
      <c r="L122" s="9"/>
      <c r="M122" s="9"/>
    </row>
    <row r="123" customFormat="false" ht="12.75" hidden="false" customHeight="true" outlineLevel="0" collapsed="false">
      <c r="A123" s="9" t="s">
        <v>180</v>
      </c>
      <c r="B123" s="35" t="s">
        <v>111</v>
      </c>
      <c r="C123" s="36" t="s">
        <v>176</v>
      </c>
      <c r="D123" s="43" t="s">
        <v>49</v>
      </c>
      <c r="E123" s="43"/>
      <c r="F123" s="9"/>
      <c r="G123" s="9"/>
      <c r="H123" s="9"/>
      <c r="I123" s="27" t="n">
        <v>0.12</v>
      </c>
      <c r="J123" s="27" t="n">
        <v>0.78</v>
      </c>
      <c r="K123" s="9"/>
      <c r="L123" s="9"/>
      <c r="M123" s="9"/>
    </row>
    <row r="124" customFormat="false" ht="12.75" hidden="false" customHeight="true" outlineLevel="0" collapsed="false">
      <c r="A124" s="9" t="s">
        <v>180</v>
      </c>
      <c r="B124" s="35" t="s">
        <v>115</v>
      </c>
      <c r="C124" s="36" t="s">
        <v>116</v>
      </c>
      <c r="D124" s="43" t="s">
        <v>49</v>
      </c>
      <c r="E124" s="43"/>
      <c r="F124" s="9"/>
      <c r="G124" s="9"/>
      <c r="H124" s="9"/>
      <c r="I124" s="27" t="n">
        <v>0.12</v>
      </c>
      <c r="J124" s="27" t="n">
        <v>0.78</v>
      </c>
      <c r="K124" s="9"/>
      <c r="L124" s="9"/>
      <c r="M124" s="9"/>
    </row>
    <row r="125" customFormat="false" ht="12.75" hidden="false" customHeight="true" outlineLevel="0" collapsed="false">
      <c r="A125" s="9" t="s">
        <v>181</v>
      </c>
      <c r="B125" s="9" t="s">
        <v>110</v>
      </c>
      <c r="C125" s="26" t="s">
        <v>167</v>
      </c>
      <c r="D125" s="6" t="s">
        <v>47</v>
      </c>
      <c r="E125" s="6"/>
      <c r="F125" s="9"/>
      <c r="G125" s="9"/>
      <c r="H125" s="9"/>
      <c r="I125" s="27" t="n">
        <v>7</v>
      </c>
      <c r="J125" s="27" t="n">
        <v>55</v>
      </c>
      <c r="K125" s="9"/>
      <c r="L125" s="9"/>
      <c r="M125" s="9"/>
    </row>
    <row r="126" customFormat="false" ht="12.75" hidden="false" customHeight="true" outlineLevel="0" collapsed="false">
      <c r="A126" s="9" t="s">
        <v>181</v>
      </c>
      <c r="B126" s="9" t="s">
        <v>110</v>
      </c>
      <c r="C126" s="26" t="s">
        <v>171</v>
      </c>
      <c r="D126" s="44" t="s">
        <v>47</v>
      </c>
      <c r="E126" s="44"/>
      <c r="F126" s="9"/>
      <c r="G126" s="9"/>
      <c r="H126" s="9"/>
      <c r="I126" s="27" t="n">
        <v>7</v>
      </c>
      <c r="J126" s="27" t="n">
        <v>61</v>
      </c>
      <c r="K126" s="9"/>
      <c r="L126" s="9"/>
      <c r="M126" s="9"/>
    </row>
    <row r="127" customFormat="false" ht="12.75" hidden="false" customHeight="true" outlineLevel="0" collapsed="false">
      <c r="A127" s="9" t="s">
        <v>181</v>
      </c>
      <c r="B127" s="35" t="s">
        <v>153</v>
      </c>
      <c r="C127" s="35" t="s">
        <v>153</v>
      </c>
      <c r="D127" s="6" t="s">
        <v>45</v>
      </c>
      <c r="E127" s="6"/>
      <c r="F127" s="9"/>
      <c r="G127" s="9"/>
      <c r="H127" s="9"/>
      <c r="I127" s="27" t="n">
        <v>8</v>
      </c>
      <c r="J127" s="27" t="n">
        <v>12</v>
      </c>
      <c r="K127" s="9"/>
      <c r="L127" s="9"/>
      <c r="M127" s="9"/>
    </row>
    <row r="128" customFormat="false" ht="12.75" hidden="false" customHeight="true" outlineLevel="0" collapsed="false">
      <c r="A128" s="9" t="s">
        <v>181</v>
      </c>
      <c r="B128" s="35" t="s">
        <v>111</v>
      </c>
      <c r="C128" s="45" t="s">
        <v>112</v>
      </c>
      <c r="D128" s="43" t="s">
        <v>49</v>
      </c>
      <c r="E128" s="43"/>
      <c r="F128" s="9"/>
      <c r="G128" s="9"/>
      <c r="H128" s="9"/>
      <c r="I128" s="27" t="n">
        <v>0.12</v>
      </c>
      <c r="J128" s="27" t="n">
        <v>0.78</v>
      </c>
      <c r="K128" s="9"/>
      <c r="L128" s="9"/>
      <c r="M128" s="9"/>
    </row>
    <row r="129" customFormat="false" ht="12.75" hidden="false" customHeight="true" outlineLevel="0" collapsed="false">
      <c r="A129" s="9" t="s">
        <v>181</v>
      </c>
      <c r="B129" s="35" t="s">
        <v>111</v>
      </c>
      <c r="C129" s="45" t="s">
        <v>154</v>
      </c>
      <c r="D129" s="43" t="s">
        <v>49</v>
      </c>
      <c r="E129" s="43"/>
      <c r="F129" s="9"/>
      <c r="G129" s="9"/>
      <c r="H129" s="9"/>
      <c r="I129" s="27" t="n">
        <v>0.12</v>
      </c>
      <c r="J129" s="27" t="n">
        <v>0.78</v>
      </c>
      <c r="K129" s="9"/>
      <c r="L129" s="9"/>
      <c r="M129" s="9"/>
    </row>
    <row r="130" customFormat="false" ht="12.75" hidden="false" customHeight="true" outlineLevel="0" collapsed="false">
      <c r="A130" s="9" t="s">
        <v>181</v>
      </c>
      <c r="B130" s="35" t="s">
        <v>111</v>
      </c>
      <c r="C130" s="36" t="s">
        <v>113</v>
      </c>
      <c r="D130" s="43" t="s">
        <v>49</v>
      </c>
      <c r="E130" s="43"/>
      <c r="F130" s="9"/>
      <c r="G130" s="9"/>
      <c r="H130" s="9"/>
      <c r="I130" s="27" t="n">
        <v>0.12</v>
      </c>
      <c r="J130" s="27" t="n">
        <v>0.78</v>
      </c>
      <c r="K130" s="9"/>
      <c r="L130" s="9"/>
      <c r="M130" s="9"/>
    </row>
    <row r="131" customFormat="false" ht="12.75" hidden="false" customHeight="true" outlineLevel="0" collapsed="false">
      <c r="A131" s="9" t="s">
        <v>181</v>
      </c>
      <c r="B131" s="35" t="s">
        <v>111</v>
      </c>
      <c r="C131" s="36" t="s">
        <v>176</v>
      </c>
      <c r="D131" s="43" t="s">
        <v>49</v>
      </c>
      <c r="E131" s="43"/>
      <c r="F131" s="9"/>
      <c r="G131" s="9"/>
      <c r="H131" s="9"/>
      <c r="I131" s="27" t="n">
        <v>0.12</v>
      </c>
      <c r="J131" s="27" t="n">
        <v>0.78</v>
      </c>
      <c r="K131" s="9"/>
      <c r="L131" s="9"/>
      <c r="M131" s="9"/>
    </row>
    <row r="132" customFormat="false" ht="12.75" hidden="false" customHeight="true" outlineLevel="0" collapsed="false">
      <c r="A132" s="9" t="s">
        <v>181</v>
      </c>
      <c r="B132" s="35" t="s">
        <v>115</v>
      </c>
      <c r="C132" s="36" t="s">
        <v>116</v>
      </c>
      <c r="D132" s="43" t="s">
        <v>49</v>
      </c>
      <c r="E132" s="43"/>
      <c r="F132" s="9"/>
      <c r="G132" s="9"/>
      <c r="H132" s="9"/>
      <c r="I132" s="27" t="n">
        <v>0.12</v>
      </c>
      <c r="J132" s="27" t="n">
        <v>0.78</v>
      </c>
      <c r="K132" s="9"/>
      <c r="L132" s="9"/>
      <c r="M132" s="9"/>
    </row>
    <row r="133" customFormat="false" ht="12.75" hidden="false" customHeight="true" outlineLevel="0" collapsed="false">
      <c r="A133" s="9" t="s">
        <v>182</v>
      </c>
      <c r="B133" s="35" t="s">
        <v>183</v>
      </c>
      <c r="C133" s="36" t="s">
        <v>184</v>
      </c>
      <c r="D133" s="43" t="s">
        <v>49</v>
      </c>
      <c r="E133" s="43"/>
      <c r="F133" s="9"/>
      <c r="G133" s="9"/>
      <c r="H133" s="9"/>
      <c r="I133" s="27" t="n">
        <v>0.5</v>
      </c>
      <c r="J133" s="27" t="n">
        <v>1.5</v>
      </c>
      <c r="K133" s="9"/>
      <c r="L133" s="9"/>
      <c r="M133" s="9"/>
    </row>
    <row r="134" customFormat="false" ht="12.75" hidden="false" customHeight="true" outlineLevel="0" collapsed="false">
      <c r="A134" s="9" t="s">
        <v>182</v>
      </c>
      <c r="B134" s="35" t="s">
        <v>183</v>
      </c>
      <c r="C134" s="36" t="s">
        <v>185</v>
      </c>
      <c r="D134" s="43" t="s">
        <v>49</v>
      </c>
      <c r="E134" s="43"/>
      <c r="F134" s="9"/>
      <c r="G134" s="9"/>
      <c r="H134" s="9"/>
      <c r="I134" s="27" t="n">
        <v>0</v>
      </c>
      <c r="J134" s="27" t="n">
        <v>0</v>
      </c>
      <c r="K134" s="9"/>
      <c r="L134" s="9"/>
      <c r="M134" s="9"/>
    </row>
    <row r="135" customFormat="false" ht="12.75" hidden="false" customHeight="true" outlineLevel="0" collapsed="false">
      <c r="A135" s="9" t="s">
        <v>182</v>
      </c>
      <c r="B135" s="35" t="s">
        <v>183</v>
      </c>
      <c r="C135" s="36" t="s">
        <v>183</v>
      </c>
      <c r="D135" s="43" t="s">
        <v>49</v>
      </c>
      <c r="E135" s="43"/>
      <c r="F135" s="9"/>
      <c r="G135" s="9"/>
      <c r="H135" s="9"/>
      <c r="I135" s="27" t="n">
        <v>0.5</v>
      </c>
      <c r="J135" s="27" t="n">
        <v>1.5</v>
      </c>
      <c r="K135" s="9"/>
      <c r="L135" s="9"/>
      <c r="M135" s="9"/>
    </row>
    <row r="136" customFormat="false" ht="12.75" hidden="false" customHeight="true" outlineLevel="0" collapsed="false">
      <c r="A136" s="46" t="s">
        <v>182</v>
      </c>
      <c r="B136" s="47" t="s">
        <v>183</v>
      </c>
      <c r="C136" s="48" t="s">
        <v>186</v>
      </c>
      <c r="D136" s="49" t="s">
        <v>49</v>
      </c>
      <c r="E136" s="49"/>
      <c r="F136" s="46"/>
      <c r="G136" s="46"/>
      <c r="H136" s="46"/>
      <c r="I136" s="50" t="n">
        <v>0.5</v>
      </c>
      <c r="J136" s="50" t="n">
        <v>1.15</v>
      </c>
      <c r="K136" s="46"/>
      <c r="L136" s="46"/>
      <c r="M136" s="46"/>
    </row>
    <row r="137" customFormat="false" ht="28.5" hidden="false" customHeight="true" outlineLevel="0" collapsed="false">
      <c r="B137" s="51"/>
      <c r="C137" s="51"/>
      <c r="D137" s="52"/>
      <c r="E137" s="52"/>
    </row>
    <row r="138" customFormat="false" ht="28.5" hidden="false" customHeight="true" outlineLevel="0" collapsed="false">
      <c r="B138" s="51"/>
      <c r="C138" s="51"/>
      <c r="D138" s="52"/>
      <c r="E138" s="52"/>
    </row>
    <row r="139" customFormat="false" ht="28.5" hidden="false" customHeight="true" outlineLevel="0" collapsed="false">
      <c r="B139" s="51"/>
      <c r="C139" s="51"/>
      <c r="D139" s="52"/>
      <c r="E139" s="52"/>
    </row>
    <row r="140" customFormat="false" ht="28.5" hidden="false" customHeight="true" outlineLevel="0" collapsed="false">
      <c r="B140" s="51"/>
      <c r="C140" s="51"/>
      <c r="D140" s="52"/>
      <c r="E140" s="52"/>
    </row>
    <row r="141" customFormat="false" ht="28.5" hidden="false" customHeight="true" outlineLevel="0" collapsed="false">
      <c r="B141" s="51"/>
      <c r="C141" s="51"/>
      <c r="D141" s="52"/>
      <c r="E141" s="52"/>
    </row>
    <row r="142" customFormat="false" ht="28.5" hidden="false" customHeight="true" outlineLevel="0" collapsed="false">
      <c r="B142" s="51"/>
      <c r="C142" s="51"/>
      <c r="D142" s="52"/>
      <c r="E142" s="52"/>
    </row>
    <row r="143" customFormat="false" ht="28.5" hidden="false" customHeight="true" outlineLevel="0" collapsed="false">
      <c r="B143" s="51"/>
      <c r="C143" s="51"/>
      <c r="D143" s="52"/>
      <c r="E143" s="52"/>
    </row>
    <row r="144" customFormat="false" ht="28.5" hidden="false" customHeight="true" outlineLevel="0" collapsed="false">
      <c r="B144" s="51"/>
      <c r="C144" s="51"/>
      <c r="D144" s="52"/>
      <c r="E144" s="52"/>
    </row>
    <row r="145" customFormat="false" ht="28.5" hidden="false" customHeight="true" outlineLevel="0" collapsed="false">
      <c r="B145" s="51"/>
      <c r="C145" s="51"/>
      <c r="D145" s="52"/>
      <c r="E145" s="52"/>
    </row>
    <row r="146" customFormat="false" ht="28.5" hidden="false" customHeight="true" outlineLevel="0" collapsed="false">
      <c r="B146" s="51"/>
      <c r="C146" s="51"/>
      <c r="D146" s="52"/>
      <c r="E146" s="52"/>
    </row>
    <row r="147" customFormat="false" ht="28.5" hidden="false" customHeight="true" outlineLevel="0" collapsed="false">
      <c r="B147" s="51"/>
      <c r="C147" s="51"/>
      <c r="D147" s="52"/>
      <c r="E147" s="52"/>
    </row>
    <row r="148" customFormat="false" ht="28.5" hidden="false" customHeight="true" outlineLevel="0" collapsed="false">
      <c r="B148" s="51"/>
      <c r="C148" s="51"/>
      <c r="D148" s="52"/>
      <c r="E148" s="52"/>
    </row>
    <row r="149" customFormat="false" ht="28.5" hidden="false" customHeight="true" outlineLevel="0" collapsed="false">
      <c r="B149" s="51"/>
      <c r="C149" s="51"/>
      <c r="D149" s="52"/>
      <c r="E149" s="52"/>
    </row>
    <row r="150" customFormat="false" ht="28.5" hidden="false" customHeight="true" outlineLevel="0" collapsed="false">
      <c r="B150" s="51"/>
      <c r="C150" s="51"/>
      <c r="D150" s="52"/>
      <c r="E150" s="52"/>
    </row>
    <row r="151" customFormat="false" ht="28.5" hidden="false" customHeight="true" outlineLevel="0" collapsed="false">
      <c r="B151" s="51"/>
      <c r="C151" s="51"/>
      <c r="D151" s="52"/>
      <c r="E151" s="52"/>
    </row>
    <row r="152" customFormat="false" ht="28.5" hidden="false" customHeight="true" outlineLevel="0" collapsed="false">
      <c r="B152" s="51"/>
      <c r="C152" s="51"/>
      <c r="D152" s="52"/>
      <c r="E152" s="52"/>
    </row>
    <row r="153" customFormat="false" ht="28.5" hidden="false" customHeight="true" outlineLevel="0" collapsed="false">
      <c r="B153" s="51"/>
      <c r="C153" s="51"/>
      <c r="D153" s="52"/>
      <c r="E153" s="52"/>
    </row>
    <row r="154" customFormat="false" ht="28.5" hidden="false" customHeight="true" outlineLevel="0" collapsed="false">
      <c r="B154" s="51"/>
      <c r="C154" s="51"/>
      <c r="D154" s="52"/>
      <c r="E154" s="52"/>
    </row>
    <row r="155" customFormat="false" ht="28.5" hidden="false" customHeight="true" outlineLevel="0" collapsed="false">
      <c r="B155" s="51"/>
      <c r="C155" s="51"/>
      <c r="D155" s="52"/>
      <c r="E155" s="52"/>
    </row>
    <row r="156" customFormat="false" ht="28.5" hidden="false" customHeight="true" outlineLevel="0" collapsed="false">
      <c r="B156" s="51"/>
      <c r="C156" s="51"/>
      <c r="D156" s="52"/>
      <c r="E156" s="52"/>
    </row>
    <row r="157" customFormat="false" ht="28.5" hidden="false" customHeight="true" outlineLevel="0" collapsed="false">
      <c r="B157" s="51"/>
      <c r="C157" s="51"/>
      <c r="D157" s="52"/>
      <c r="E157" s="52"/>
    </row>
    <row r="158" customFormat="false" ht="28.5" hidden="false" customHeight="true" outlineLevel="0" collapsed="false">
      <c r="B158" s="51"/>
      <c r="C158" s="51"/>
      <c r="D158" s="52"/>
      <c r="E158" s="52"/>
    </row>
    <row r="159" customFormat="false" ht="28.5" hidden="false" customHeight="true" outlineLevel="0" collapsed="false">
      <c r="B159" s="51"/>
      <c r="C159" s="51"/>
      <c r="D159" s="52"/>
      <c r="E159" s="52"/>
    </row>
    <row r="160" customFormat="false" ht="28.5" hidden="false" customHeight="true" outlineLevel="0" collapsed="false">
      <c r="B160" s="51"/>
      <c r="C160" s="51"/>
      <c r="D160" s="52"/>
      <c r="E160" s="52"/>
    </row>
    <row r="161" customFormat="false" ht="28.5" hidden="false" customHeight="true" outlineLevel="0" collapsed="false">
      <c r="B161" s="51"/>
      <c r="C161" s="51"/>
      <c r="D161" s="52"/>
      <c r="E161" s="52"/>
    </row>
    <row r="162" customFormat="false" ht="28.5" hidden="false" customHeight="true" outlineLevel="0" collapsed="false">
      <c r="B162" s="51"/>
      <c r="C162" s="51"/>
      <c r="D162" s="52"/>
      <c r="E162" s="52"/>
    </row>
    <row r="163" customFormat="false" ht="28.5" hidden="false" customHeight="true" outlineLevel="0" collapsed="false">
      <c r="B163" s="51"/>
      <c r="C163" s="51"/>
      <c r="D163" s="52"/>
      <c r="E163" s="52"/>
    </row>
    <row r="164" customFormat="false" ht="28.5" hidden="false" customHeight="true" outlineLevel="0" collapsed="false">
      <c r="B164" s="51"/>
      <c r="C164" s="51"/>
      <c r="D164" s="52"/>
      <c r="E164" s="52"/>
    </row>
    <row r="165" customFormat="false" ht="28.5" hidden="false" customHeight="true" outlineLevel="0" collapsed="false">
      <c r="B165" s="51"/>
      <c r="C165" s="51"/>
      <c r="D165" s="52"/>
      <c r="E165" s="52"/>
    </row>
    <row r="166" customFormat="false" ht="28.5" hidden="false" customHeight="true" outlineLevel="0" collapsed="false">
      <c r="B166" s="51"/>
      <c r="C166" s="51"/>
      <c r="D166" s="52"/>
      <c r="E166" s="52"/>
    </row>
    <row r="167" customFormat="false" ht="28.5" hidden="false" customHeight="true" outlineLevel="0" collapsed="false">
      <c r="B167" s="51"/>
      <c r="C167" s="51"/>
      <c r="D167" s="52"/>
      <c r="E167" s="52"/>
    </row>
    <row r="168" customFormat="false" ht="28.5" hidden="false" customHeight="true" outlineLevel="0" collapsed="false">
      <c r="B168" s="51"/>
      <c r="C168" s="51"/>
      <c r="D168" s="52"/>
      <c r="E168" s="52"/>
    </row>
    <row r="169" customFormat="false" ht="28.5" hidden="false" customHeight="true" outlineLevel="0" collapsed="false">
      <c r="B169" s="51"/>
      <c r="C169" s="51"/>
      <c r="D169" s="52"/>
      <c r="E169" s="52"/>
    </row>
    <row r="170" customFormat="false" ht="28.5" hidden="false" customHeight="true" outlineLevel="0" collapsed="false">
      <c r="B170" s="51"/>
      <c r="C170" s="51"/>
      <c r="D170" s="52"/>
      <c r="E170" s="52"/>
    </row>
    <row r="171" customFormat="false" ht="28.5" hidden="false" customHeight="true" outlineLevel="0" collapsed="false">
      <c r="B171" s="51"/>
      <c r="C171" s="51"/>
      <c r="D171" s="52"/>
      <c r="E171" s="52"/>
    </row>
    <row r="172" customFormat="false" ht="28.5" hidden="false" customHeight="true" outlineLevel="0" collapsed="false">
      <c r="B172" s="51"/>
      <c r="C172" s="51"/>
      <c r="D172" s="52"/>
      <c r="E172" s="52"/>
    </row>
    <row r="173" customFormat="false" ht="28.5" hidden="false" customHeight="true" outlineLevel="0" collapsed="false">
      <c r="B173" s="51"/>
      <c r="C173" s="51"/>
      <c r="D173" s="52"/>
      <c r="E173" s="52"/>
    </row>
    <row r="174" customFormat="false" ht="28.5" hidden="false" customHeight="true" outlineLevel="0" collapsed="false">
      <c r="B174" s="51"/>
      <c r="C174" s="51"/>
      <c r="D174" s="52"/>
      <c r="E174" s="52"/>
    </row>
    <row r="175" customFormat="false" ht="28.5" hidden="false" customHeight="true" outlineLevel="0" collapsed="false">
      <c r="B175" s="51"/>
      <c r="C175" s="51"/>
      <c r="D175" s="52"/>
      <c r="E175" s="52"/>
    </row>
    <row r="176" customFormat="false" ht="28.5" hidden="false" customHeight="true" outlineLevel="0" collapsed="false">
      <c r="B176" s="51"/>
      <c r="C176" s="51"/>
      <c r="D176" s="52"/>
      <c r="E176" s="52"/>
    </row>
    <row r="177" customFormat="false" ht="28.5" hidden="false" customHeight="true" outlineLevel="0" collapsed="false">
      <c r="B177" s="51"/>
      <c r="C177" s="51"/>
      <c r="D177" s="52"/>
      <c r="E177" s="52"/>
    </row>
    <row r="178" customFormat="false" ht="28.5" hidden="false" customHeight="true" outlineLevel="0" collapsed="false">
      <c r="B178" s="51"/>
      <c r="C178" s="51"/>
      <c r="D178" s="52"/>
      <c r="E178" s="52"/>
    </row>
    <row r="179" customFormat="false" ht="28.5" hidden="false" customHeight="true" outlineLevel="0" collapsed="false">
      <c r="B179" s="51"/>
      <c r="C179" s="51"/>
      <c r="D179" s="52"/>
      <c r="E179" s="52"/>
    </row>
    <row r="180" customFormat="false" ht="28.5" hidden="false" customHeight="true" outlineLevel="0" collapsed="false">
      <c r="B180" s="51"/>
      <c r="C180" s="51"/>
      <c r="D180" s="52"/>
      <c r="E180" s="52"/>
    </row>
    <row r="181" customFormat="false" ht="28.5" hidden="false" customHeight="true" outlineLevel="0" collapsed="false">
      <c r="B181" s="51"/>
      <c r="C181" s="51"/>
      <c r="D181" s="52"/>
      <c r="E181" s="52"/>
    </row>
    <row r="182" customFormat="false" ht="28.5" hidden="false" customHeight="true" outlineLevel="0" collapsed="false">
      <c r="B182" s="51"/>
      <c r="C182" s="51"/>
      <c r="D182" s="52"/>
      <c r="E182" s="52"/>
    </row>
    <row r="183" customFormat="false" ht="28.5" hidden="false" customHeight="true" outlineLevel="0" collapsed="false">
      <c r="B183" s="51"/>
      <c r="C183" s="51"/>
      <c r="D183" s="52"/>
      <c r="E183" s="52"/>
    </row>
    <row r="184" customFormat="false" ht="28.5" hidden="false" customHeight="true" outlineLevel="0" collapsed="false">
      <c r="B184" s="51"/>
      <c r="C184" s="51"/>
      <c r="D184" s="52"/>
      <c r="E184" s="52"/>
    </row>
    <row r="185" customFormat="false" ht="28.5" hidden="false" customHeight="true" outlineLevel="0" collapsed="false">
      <c r="B185" s="51"/>
      <c r="C185" s="51"/>
      <c r="D185" s="52"/>
      <c r="E185" s="52"/>
    </row>
    <row r="186" customFormat="false" ht="28.5" hidden="false" customHeight="true" outlineLevel="0" collapsed="false">
      <c r="B186" s="51"/>
      <c r="C186" s="51"/>
      <c r="D186" s="52"/>
      <c r="E186" s="52"/>
    </row>
    <row r="187" customFormat="false" ht="28.5" hidden="false" customHeight="true" outlineLevel="0" collapsed="false">
      <c r="B187" s="51"/>
      <c r="C187" s="51"/>
      <c r="D187" s="52"/>
      <c r="E187" s="52"/>
    </row>
    <row r="188" customFormat="false" ht="28.5" hidden="false" customHeight="true" outlineLevel="0" collapsed="false">
      <c r="B188" s="51"/>
      <c r="C188" s="51"/>
      <c r="D188" s="52"/>
      <c r="E188" s="52"/>
    </row>
    <row r="189" customFormat="false" ht="28.5" hidden="false" customHeight="true" outlineLevel="0" collapsed="false">
      <c r="B189" s="51"/>
      <c r="C189" s="51"/>
      <c r="D189" s="52"/>
      <c r="E189" s="52"/>
    </row>
    <row r="190" customFormat="false" ht="28.5" hidden="false" customHeight="true" outlineLevel="0" collapsed="false">
      <c r="B190" s="51"/>
      <c r="C190" s="51"/>
      <c r="D190" s="52"/>
      <c r="E190" s="52"/>
    </row>
    <row r="191" customFormat="false" ht="28.5" hidden="false" customHeight="true" outlineLevel="0" collapsed="false">
      <c r="B191" s="51"/>
      <c r="C191" s="51"/>
      <c r="D191" s="52"/>
      <c r="E191" s="52"/>
    </row>
    <row r="192" customFormat="false" ht="28.5" hidden="false" customHeight="true" outlineLevel="0" collapsed="false">
      <c r="B192" s="51"/>
      <c r="C192" s="51"/>
      <c r="D192" s="52"/>
      <c r="E192" s="52"/>
    </row>
    <row r="193" customFormat="false" ht="28.5" hidden="false" customHeight="true" outlineLevel="0" collapsed="false">
      <c r="B193" s="51"/>
      <c r="C193" s="51"/>
      <c r="D193" s="52"/>
      <c r="E193" s="52"/>
    </row>
    <row r="194" customFormat="false" ht="28.5" hidden="false" customHeight="true" outlineLevel="0" collapsed="false">
      <c r="B194" s="51"/>
      <c r="C194" s="51"/>
      <c r="D194" s="52"/>
      <c r="E194" s="52"/>
    </row>
    <row r="195" customFormat="false" ht="28.5" hidden="false" customHeight="true" outlineLevel="0" collapsed="false">
      <c r="B195" s="51"/>
      <c r="C195" s="51"/>
      <c r="D195" s="52"/>
      <c r="E195" s="52"/>
    </row>
    <row r="196" customFormat="false" ht="28.5" hidden="false" customHeight="true" outlineLevel="0" collapsed="false">
      <c r="B196" s="51"/>
      <c r="C196" s="51"/>
      <c r="D196" s="52"/>
      <c r="E196" s="52"/>
    </row>
    <row r="197" customFormat="false" ht="28.5" hidden="false" customHeight="true" outlineLevel="0" collapsed="false">
      <c r="B197" s="51"/>
      <c r="C197" s="51"/>
      <c r="D197" s="52"/>
      <c r="E197" s="52"/>
    </row>
    <row r="198" customFormat="false" ht="28.5" hidden="false" customHeight="true" outlineLevel="0" collapsed="false">
      <c r="B198" s="51"/>
      <c r="C198" s="51"/>
      <c r="D198" s="52"/>
      <c r="E198" s="52"/>
    </row>
    <row r="199" customFormat="false" ht="28.5" hidden="false" customHeight="true" outlineLevel="0" collapsed="false">
      <c r="B199" s="51"/>
      <c r="C199" s="51"/>
      <c r="D199" s="52"/>
      <c r="E199" s="52"/>
    </row>
    <row r="200" customFormat="false" ht="28.5" hidden="false" customHeight="true" outlineLevel="0" collapsed="false">
      <c r="B200" s="51"/>
      <c r="C200" s="51"/>
      <c r="D200" s="52"/>
      <c r="E200" s="52"/>
    </row>
    <row r="201" customFormat="false" ht="28.5" hidden="false" customHeight="true" outlineLevel="0" collapsed="false">
      <c r="B201" s="51"/>
      <c r="C201" s="51"/>
      <c r="D201" s="52"/>
      <c r="E201" s="52"/>
    </row>
    <row r="202" customFormat="false" ht="28.5" hidden="false" customHeight="true" outlineLevel="0" collapsed="false">
      <c r="B202" s="51"/>
      <c r="C202" s="51"/>
      <c r="D202" s="52"/>
      <c r="E202" s="52"/>
    </row>
    <row r="203" customFormat="false" ht="28.5" hidden="false" customHeight="true" outlineLevel="0" collapsed="false">
      <c r="B203" s="51"/>
      <c r="C203" s="51"/>
      <c r="D203" s="52"/>
      <c r="E203" s="52"/>
    </row>
    <row r="204" customFormat="false" ht="28.5" hidden="false" customHeight="true" outlineLevel="0" collapsed="false">
      <c r="B204" s="51"/>
      <c r="C204" s="51"/>
      <c r="D204" s="52"/>
      <c r="E204" s="52"/>
    </row>
    <row r="205" customFormat="false" ht="28.5" hidden="false" customHeight="true" outlineLevel="0" collapsed="false">
      <c r="B205" s="51"/>
      <c r="C205" s="51"/>
      <c r="D205" s="52"/>
      <c r="E205" s="52"/>
    </row>
    <row r="206" customFormat="false" ht="28.5" hidden="false" customHeight="true" outlineLevel="0" collapsed="false">
      <c r="B206" s="51"/>
      <c r="C206" s="51"/>
      <c r="D206" s="52"/>
      <c r="E206" s="52"/>
    </row>
    <row r="207" customFormat="false" ht="28.5" hidden="false" customHeight="true" outlineLevel="0" collapsed="false">
      <c r="B207" s="51"/>
      <c r="C207" s="51"/>
      <c r="D207" s="52"/>
      <c r="E207" s="52"/>
    </row>
    <row r="208" customFormat="false" ht="28.5" hidden="false" customHeight="true" outlineLevel="0" collapsed="false">
      <c r="B208" s="51"/>
      <c r="C208" s="51"/>
      <c r="D208" s="52"/>
      <c r="E208" s="52"/>
    </row>
    <row r="209" customFormat="false" ht="28.5" hidden="false" customHeight="true" outlineLevel="0" collapsed="false">
      <c r="B209" s="51"/>
      <c r="C209" s="51"/>
      <c r="D209" s="52"/>
      <c r="E209" s="52"/>
    </row>
    <row r="210" customFormat="false" ht="28.5" hidden="false" customHeight="true" outlineLevel="0" collapsed="false">
      <c r="B210" s="51"/>
      <c r="C210" s="51"/>
      <c r="D210" s="52"/>
      <c r="E210" s="52"/>
    </row>
    <row r="211" customFormat="false" ht="28.5" hidden="false" customHeight="true" outlineLevel="0" collapsed="false">
      <c r="B211" s="51"/>
      <c r="C211" s="51"/>
      <c r="D211" s="52"/>
      <c r="E211" s="52"/>
    </row>
    <row r="212" customFormat="false" ht="28.5" hidden="false" customHeight="true" outlineLevel="0" collapsed="false">
      <c r="B212" s="51"/>
      <c r="C212" s="51"/>
      <c r="D212" s="52"/>
      <c r="E212" s="52"/>
    </row>
    <row r="213" customFormat="false" ht="28.5" hidden="false" customHeight="true" outlineLevel="0" collapsed="false">
      <c r="B213" s="51"/>
      <c r="C213" s="51"/>
      <c r="D213" s="52"/>
      <c r="E213" s="52"/>
    </row>
    <row r="214" customFormat="false" ht="28.5" hidden="false" customHeight="true" outlineLevel="0" collapsed="false">
      <c r="B214" s="51"/>
      <c r="C214" s="51"/>
      <c r="D214" s="52"/>
      <c r="E214" s="52"/>
    </row>
    <row r="215" customFormat="false" ht="28.5" hidden="false" customHeight="true" outlineLevel="0" collapsed="false">
      <c r="B215" s="51"/>
      <c r="C215" s="51"/>
      <c r="D215" s="52"/>
      <c r="E215" s="52"/>
    </row>
    <row r="216" customFormat="false" ht="28.5" hidden="false" customHeight="true" outlineLevel="0" collapsed="false">
      <c r="B216" s="51"/>
      <c r="C216" s="51"/>
      <c r="D216" s="52"/>
      <c r="E216" s="52"/>
    </row>
    <row r="217" customFormat="false" ht="28.5" hidden="false" customHeight="true" outlineLevel="0" collapsed="false">
      <c r="B217" s="51"/>
      <c r="C217" s="51"/>
      <c r="D217" s="52"/>
      <c r="E217" s="52"/>
    </row>
    <row r="218" customFormat="false" ht="28.5" hidden="false" customHeight="true" outlineLevel="0" collapsed="false">
      <c r="B218" s="51"/>
      <c r="C218" s="51"/>
      <c r="D218" s="52"/>
      <c r="E218" s="52"/>
    </row>
    <row r="219" customFormat="false" ht="28.5" hidden="false" customHeight="true" outlineLevel="0" collapsed="false">
      <c r="B219" s="51"/>
      <c r="C219" s="51"/>
      <c r="D219" s="52"/>
      <c r="E219" s="52"/>
    </row>
    <row r="220" customFormat="false" ht="28.5" hidden="false" customHeight="true" outlineLevel="0" collapsed="false">
      <c r="B220" s="51"/>
      <c r="C220" s="51"/>
      <c r="D220" s="52"/>
      <c r="E220" s="52"/>
    </row>
    <row r="221" customFormat="false" ht="28.5" hidden="false" customHeight="true" outlineLevel="0" collapsed="false">
      <c r="B221" s="51"/>
      <c r="C221" s="51"/>
      <c r="D221" s="52"/>
      <c r="E221" s="52"/>
    </row>
    <row r="222" customFormat="false" ht="28.5" hidden="false" customHeight="true" outlineLevel="0" collapsed="false">
      <c r="B222" s="51"/>
      <c r="C222" s="51"/>
      <c r="D222" s="52"/>
      <c r="E222" s="52"/>
    </row>
    <row r="223" customFormat="false" ht="28.5" hidden="false" customHeight="true" outlineLevel="0" collapsed="false">
      <c r="B223" s="51"/>
      <c r="C223" s="51"/>
      <c r="D223" s="52"/>
      <c r="E223" s="52"/>
    </row>
    <row r="224" customFormat="false" ht="28.5" hidden="false" customHeight="true" outlineLevel="0" collapsed="false">
      <c r="B224" s="51"/>
      <c r="C224" s="51"/>
      <c r="D224" s="52"/>
      <c r="E224" s="52"/>
    </row>
    <row r="225" customFormat="false" ht="28.5" hidden="false" customHeight="true" outlineLevel="0" collapsed="false">
      <c r="B225" s="51"/>
      <c r="C225" s="51"/>
      <c r="D225" s="52"/>
      <c r="E225" s="52"/>
    </row>
    <row r="226" customFormat="false" ht="28.5" hidden="false" customHeight="true" outlineLevel="0" collapsed="false">
      <c r="B226" s="51"/>
      <c r="C226" s="51"/>
      <c r="D226" s="52"/>
      <c r="E226" s="52"/>
    </row>
    <row r="227" customFormat="false" ht="28.5" hidden="false" customHeight="true" outlineLevel="0" collapsed="false">
      <c r="B227" s="51"/>
      <c r="C227" s="51"/>
      <c r="D227" s="52"/>
      <c r="E227" s="52"/>
    </row>
    <row r="228" customFormat="false" ht="28.5" hidden="false" customHeight="true" outlineLevel="0" collapsed="false">
      <c r="B228" s="51"/>
      <c r="C228" s="51"/>
      <c r="D228" s="52"/>
      <c r="E228" s="52"/>
    </row>
    <row r="229" customFormat="false" ht="28.5" hidden="false" customHeight="true" outlineLevel="0" collapsed="false">
      <c r="B229" s="51"/>
      <c r="C229" s="51"/>
      <c r="D229" s="52"/>
      <c r="E229" s="52"/>
    </row>
    <row r="230" customFormat="false" ht="28.5" hidden="false" customHeight="true" outlineLevel="0" collapsed="false">
      <c r="B230" s="51"/>
      <c r="C230" s="51"/>
      <c r="D230" s="52"/>
      <c r="E230" s="52"/>
    </row>
    <row r="231" customFormat="false" ht="28.5" hidden="false" customHeight="true" outlineLevel="0" collapsed="false">
      <c r="B231" s="51"/>
      <c r="C231" s="51"/>
      <c r="D231" s="52"/>
      <c r="E231" s="52"/>
    </row>
    <row r="232" customFormat="false" ht="28.5" hidden="false" customHeight="true" outlineLevel="0" collapsed="false">
      <c r="B232" s="51"/>
      <c r="C232" s="51"/>
      <c r="D232" s="52"/>
      <c r="E232" s="52"/>
    </row>
    <row r="233" customFormat="false" ht="28.5" hidden="false" customHeight="true" outlineLevel="0" collapsed="false">
      <c r="B233" s="51"/>
      <c r="C233" s="51"/>
      <c r="D233" s="52"/>
      <c r="E233" s="52"/>
    </row>
    <row r="234" customFormat="false" ht="28.5" hidden="false" customHeight="true" outlineLevel="0" collapsed="false">
      <c r="B234" s="51"/>
      <c r="C234" s="51"/>
      <c r="D234" s="52"/>
      <c r="E234" s="52"/>
    </row>
    <row r="235" customFormat="false" ht="28.5" hidden="false" customHeight="true" outlineLevel="0" collapsed="false">
      <c r="B235" s="51"/>
      <c r="C235" s="51"/>
      <c r="D235" s="52"/>
      <c r="E235" s="52"/>
    </row>
    <row r="236" customFormat="false" ht="28.5" hidden="false" customHeight="true" outlineLevel="0" collapsed="false">
      <c r="B236" s="51"/>
      <c r="C236" s="51"/>
      <c r="D236" s="52"/>
      <c r="E236" s="52"/>
    </row>
    <row r="237" customFormat="false" ht="28.5" hidden="false" customHeight="true" outlineLevel="0" collapsed="false">
      <c r="B237" s="51"/>
      <c r="C237" s="51"/>
      <c r="D237" s="52"/>
      <c r="E237" s="52"/>
    </row>
    <row r="238" customFormat="false" ht="28.5" hidden="false" customHeight="true" outlineLevel="0" collapsed="false">
      <c r="B238" s="51"/>
      <c r="C238" s="51"/>
      <c r="D238" s="52"/>
      <c r="E238" s="52"/>
    </row>
    <row r="239" customFormat="false" ht="28.5" hidden="false" customHeight="true" outlineLevel="0" collapsed="false">
      <c r="B239" s="51"/>
      <c r="C239" s="51"/>
      <c r="D239" s="52"/>
      <c r="E239" s="52"/>
    </row>
    <row r="240" customFormat="false" ht="28.5" hidden="false" customHeight="true" outlineLevel="0" collapsed="false">
      <c r="B240" s="51"/>
      <c r="C240" s="51"/>
      <c r="D240" s="52"/>
      <c r="E240" s="52"/>
    </row>
    <row r="241" customFormat="false" ht="28.5" hidden="false" customHeight="true" outlineLevel="0" collapsed="false">
      <c r="B241" s="51"/>
      <c r="C241" s="51"/>
      <c r="D241" s="52"/>
      <c r="E241" s="52"/>
    </row>
    <row r="242" customFormat="false" ht="28.5" hidden="false" customHeight="true" outlineLevel="0" collapsed="false">
      <c r="B242" s="51"/>
      <c r="C242" s="51"/>
      <c r="D242" s="52"/>
      <c r="E242" s="52"/>
    </row>
    <row r="243" customFormat="false" ht="28.5" hidden="false" customHeight="true" outlineLevel="0" collapsed="false">
      <c r="B243" s="51"/>
      <c r="C243" s="51"/>
      <c r="D243" s="52"/>
      <c r="E243" s="52"/>
    </row>
    <row r="244" customFormat="false" ht="28.5" hidden="false" customHeight="true" outlineLevel="0" collapsed="false">
      <c r="B244" s="51"/>
      <c r="C244" s="51"/>
      <c r="D244" s="52"/>
      <c r="E244" s="52"/>
    </row>
    <row r="245" customFormat="false" ht="28.5" hidden="false" customHeight="true" outlineLevel="0" collapsed="false">
      <c r="B245" s="51"/>
      <c r="C245" s="51"/>
      <c r="D245" s="52"/>
      <c r="E245" s="52"/>
    </row>
    <row r="246" customFormat="false" ht="28.5" hidden="false" customHeight="true" outlineLevel="0" collapsed="false">
      <c r="B246" s="51"/>
      <c r="C246" s="51"/>
      <c r="D246" s="52"/>
      <c r="E246" s="52"/>
    </row>
    <row r="247" customFormat="false" ht="28.5" hidden="false" customHeight="true" outlineLevel="0" collapsed="false">
      <c r="B247" s="51"/>
      <c r="C247" s="51"/>
      <c r="D247" s="52"/>
      <c r="E247" s="52"/>
    </row>
    <row r="248" customFormat="false" ht="28.5" hidden="false" customHeight="true" outlineLevel="0" collapsed="false">
      <c r="B248" s="51"/>
      <c r="C248" s="51"/>
      <c r="D248" s="52"/>
      <c r="E248" s="52"/>
    </row>
    <row r="249" customFormat="false" ht="28.5" hidden="false" customHeight="true" outlineLevel="0" collapsed="false">
      <c r="B249" s="51"/>
      <c r="C249" s="51"/>
      <c r="D249" s="52"/>
      <c r="E249" s="52"/>
    </row>
    <row r="250" customFormat="false" ht="28.5" hidden="false" customHeight="true" outlineLevel="0" collapsed="false">
      <c r="B250" s="51"/>
      <c r="C250" s="51"/>
      <c r="D250" s="52"/>
      <c r="E250" s="52"/>
    </row>
    <row r="251" customFormat="false" ht="28.5" hidden="false" customHeight="true" outlineLevel="0" collapsed="false">
      <c r="B251" s="51"/>
      <c r="C251" s="51"/>
      <c r="D251" s="52"/>
      <c r="E251" s="52"/>
    </row>
    <row r="252" customFormat="false" ht="28.5" hidden="false" customHeight="true" outlineLevel="0" collapsed="false">
      <c r="B252" s="51"/>
      <c r="C252" s="51"/>
      <c r="D252" s="52"/>
      <c r="E252" s="52"/>
    </row>
    <row r="253" customFormat="false" ht="28.5" hidden="false" customHeight="true" outlineLevel="0" collapsed="false">
      <c r="B253" s="51"/>
      <c r="C253" s="51"/>
      <c r="D253" s="52"/>
      <c r="E253" s="52"/>
    </row>
    <row r="254" customFormat="false" ht="28.5" hidden="false" customHeight="true" outlineLevel="0" collapsed="false">
      <c r="B254" s="51"/>
      <c r="C254" s="51"/>
      <c r="D254" s="52"/>
      <c r="E254" s="52"/>
    </row>
    <row r="255" customFormat="false" ht="28.5" hidden="false" customHeight="true" outlineLevel="0" collapsed="false">
      <c r="B255" s="51"/>
      <c r="C255" s="51"/>
      <c r="D255" s="52"/>
      <c r="E255" s="52"/>
    </row>
    <row r="256" customFormat="false" ht="28.5" hidden="false" customHeight="true" outlineLevel="0" collapsed="false">
      <c r="B256" s="51"/>
      <c r="C256" s="51"/>
      <c r="D256" s="52"/>
      <c r="E256" s="52"/>
    </row>
    <row r="257" customFormat="false" ht="28.5" hidden="false" customHeight="true" outlineLevel="0" collapsed="false">
      <c r="B257" s="51"/>
      <c r="C257" s="51"/>
      <c r="D257" s="52"/>
      <c r="E257" s="52"/>
    </row>
    <row r="258" customFormat="false" ht="28.5" hidden="false" customHeight="true" outlineLevel="0" collapsed="false">
      <c r="B258" s="51"/>
      <c r="C258" s="51"/>
      <c r="D258" s="52"/>
      <c r="E258" s="52"/>
    </row>
    <row r="259" customFormat="false" ht="28.5" hidden="false" customHeight="true" outlineLevel="0" collapsed="false">
      <c r="B259" s="51"/>
      <c r="C259" s="51"/>
      <c r="D259" s="52"/>
      <c r="E259" s="52"/>
    </row>
    <row r="260" customFormat="false" ht="28.5" hidden="false" customHeight="true" outlineLevel="0" collapsed="false">
      <c r="B260" s="51"/>
      <c r="C260" s="51"/>
      <c r="D260" s="52"/>
      <c r="E260" s="52"/>
    </row>
    <row r="261" customFormat="false" ht="28.5" hidden="false" customHeight="true" outlineLevel="0" collapsed="false">
      <c r="B261" s="51"/>
      <c r="C261" s="51"/>
      <c r="D261" s="52"/>
      <c r="E261" s="52"/>
    </row>
    <row r="262" customFormat="false" ht="28.5" hidden="false" customHeight="true" outlineLevel="0" collapsed="false">
      <c r="B262" s="51"/>
      <c r="C262" s="51"/>
      <c r="D262" s="52"/>
      <c r="E262" s="52"/>
    </row>
    <row r="263" customFormat="false" ht="28.5" hidden="false" customHeight="true" outlineLevel="0" collapsed="false">
      <c r="B263" s="51"/>
      <c r="C263" s="51"/>
      <c r="D263" s="52"/>
      <c r="E263" s="52"/>
    </row>
    <row r="264" customFormat="false" ht="28.5" hidden="false" customHeight="true" outlineLevel="0" collapsed="false">
      <c r="B264" s="51"/>
      <c r="C264" s="51"/>
      <c r="D264" s="52"/>
      <c r="E264" s="52"/>
    </row>
    <row r="265" customFormat="false" ht="28.5" hidden="false" customHeight="true" outlineLevel="0" collapsed="false">
      <c r="B265" s="51"/>
      <c r="C265" s="51"/>
      <c r="D265" s="52"/>
      <c r="E265" s="52"/>
    </row>
    <row r="266" customFormat="false" ht="28.5" hidden="false" customHeight="true" outlineLevel="0" collapsed="false">
      <c r="B266" s="51"/>
      <c r="C266" s="51"/>
      <c r="D266" s="52"/>
      <c r="E266" s="52"/>
    </row>
    <row r="267" customFormat="false" ht="28.5" hidden="false" customHeight="true" outlineLevel="0" collapsed="false">
      <c r="B267" s="51"/>
      <c r="C267" s="51"/>
      <c r="D267" s="52"/>
      <c r="E267" s="52"/>
    </row>
    <row r="268" customFormat="false" ht="28.5" hidden="false" customHeight="true" outlineLevel="0" collapsed="false">
      <c r="B268" s="51"/>
      <c r="C268" s="51"/>
      <c r="D268" s="52"/>
      <c r="E268" s="52"/>
    </row>
    <row r="269" customFormat="false" ht="28.5" hidden="false" customHeight="true" outlineLevel="0" collapsed="false">
      <c r="B269" s="51"/>
      <c r="C269" s="51"/>
      <c r="D269" s="52"/>
      <c r="E269" s="52"/>
    </row>
    <row r="270" customFormat="false" ht="28.5" hidden="false" customHeight="true" outlineLevel="0" collapsed="false">
      <c r="B270" s="51"/>
      <c r="C270" s="51"/>
      <c r="D270" s="52"/>
      <c r="E270" s="52"/>
    </row>
    <row r="271" customFormat="false" ht="28.5" hidden="false" customHeight="true" outlineLevel="0" collapsed="false">
      <c r="B271" s="51"/>
      <c r="C271" s="51"/>
      <c r="D271" s="52"/>
      <c r="E271" s="52"/>
    </row>
    <row r="272" customFormat="false" ht="28.5" hidden="false" customHeight="true" outlineLevel="0" collapsed="false">
      <c r="B272" s="51"/>
      <c r="C272" s="51"/>
      <c r="D272" s="52"/>
      <c r="E272" s="52"/>
    </row>
    <row r="273" customFormat="false" ht="28.5" hidden="false" customHeight="true" outlineLevel="0" collapsed="false">
      <c r="B273" s="51"/>
      <c r="C273" s="51"/>
      <c r="D273" s="52"/>
      <c r="E273" s="52"/>
    </row>
    <row r="274" customFormat="false" ht="28.5" hidden="false" customHeight="true" outlineLevel="0" collapsed="false">
      <c r="B274" s="51"/>
      <c r="C274" s="51"/>
      <c r="D274" s="52"/>
      <c r="E274" s="52"/>
    </row>
    <row r="275" customFormat="false" ht="28.5" hidden="false" customHeight="true" outlineLevel="0" collapsed="false">
      <c r="B275" s="51"/>
      <c r="C275" s="51"/>
      <c r="D275" s="52"/>
      <c r="E275" s="52"/>
    </row>
    <row r="276" customFormat="false" ht="28.5" hidden="false" customHeight="true" outlineLevel="0" collapsed="false">
      <c r="B276" s="51"/>
      <c r="C276" s="51"/>
      <c r="D276" s="52"/>
      <c r="E276" s="52"/>
    </row>
    <row r="277" customFormat="false" ht="28.5" hidden="false" customHeight="true" outlineLevel="0" collapsed="false">
      <c r="B277" s="51"/>
      <c r="C277" s="51"/>
      <c r="D277" s="52"/>
      <c r="E277" s="52"/>
    </row>
    <row r="278" customFormat="false" ht="28.5" hidden="false" customHeight="true" outlineLevel="0" collapsed="false">
      <c r="B278" s="51"/>
      <c r="C278" s="51"/>
      <c r="D278" s="52"/>
      <c r="E278" s="52"/>
    </row>
    <row r="279" customFormat="false" ht="28.5" hidden="false" customHeight="true" outlineLevel="0" collapsed="false">
      <c r="B279" s="51"/>
      <c r="C279" s="51"/>
      <c r="D279" s="52"/>
      <c r="E279" s="52"/>
    </row>
    <row r="280" customFormat="false" ht="28.5" hidden="false" customHeight="true" outlineLevel="0" collapsed="false">
      <c r="B280" s="51"/>
      <c r="C280" s="51"/>
      <c r="D280" s="52"/>
      <c r="E280" s="52"/>
    </row>
    <row r="281" customFormat="false" ht="28.5" hidden="false" customHeight="true" outlineLevel="0" collapsed="false">
      <c r="B281" s="51"/>
      <c r="C281" s="51"/>
      <c r="D281" s="52"/>
      <c r="E281" s="52"/>
    </row>
    <row r="282" customFormat="false" ht="28.5" hidden="false" customHeight="true" outlineLevel="0" collapsed="false">
      <c r="B282" s="51"/>
      <c r="C282" s="51"/>
      <c r="D282" s="52"/>
      <c r="E282" s="52"/>
    </row>
    <row r="283" customFormat="false" ht="28.5" hidden="false" customHeight="true" outlineLevel="0" collapsed="false">
      <c r="B283" s="51"/>
      <c r="C283" s="51"/>
      <c r="D283" s="52"/>
      <c r="E283" s="52"/>
    </row>
    <row r="284" customFormat="false" ht="28.5" hidden="false" customHeight="true" outlineLevel="0" collapsed="false">
      <c r="B284" s="51"/>
      <c r="C284" s="51"/>
      <c r="D284" s="52"/>
      <c r="E284" s="52"/>
    </row>
    <row r="285" customFormat="false" ht="28.5" hidden="false" customHeight="true" outlineLevel="0" collapsed="false">
      <c r="B285" s="51"/>
      <c r="C285" s="51"/>
      <c r="D285" s="52"/>
      <c r="E285" s="52"/>
    </row>
    <row r="286" customFormat="false" ht="28.5" hidden="false" customHeight="true" outlineLevel="0" collapsed="false">
      <c r="B286" s="51"/>
      <c r="C286" s="51"/>
      <c r="D286" s="52"/>
      <c r="E286" s="52"/>
    </row>
    <row r="287" customFormat="false" ht="28.5" hidden="false" customHeight="true" outlineLevel="0" collapsed="false">
      <c r="B287" s="51"/>
      <c r="C287" s="51"/>
      <c r="D287" s="52"/>
      <c r="E287" s="52"/>
    </row>
    <row r="288" customFormat="false" ht="28.5" hidden="false" customHeight="true" outlineLevel="0" collapsed="false">
      <c r="B288" s="51"/>
      <c r="C288" s="51"/>
      <c r="D288" s="52"/>
      <c r="E288" s="52"/>
    </row>
    <row r="289" customFormat="false" ht="28.5" hidden="false" customHeight="true" outlineLevel="0" collapsed="false">
      <c r="B289" s="51"/>
      <c r="C289" s="51"/>
      <c r="D289" s="52"/>
      <c r="E289" s="52"/>
    </row>
    <row r="290" customFormat="false" ht="28.5" hidden="false" customHeight="true" outlineLevel="0" collapsed="false">
      <c r="B290" s="51"/>
      <c r="C290" s="51"/>
      <c r="D290" s="52"/>
      <c r="E290" s="52"/>
    </row>
    <row r="291" customFormat="false" ht="28.5" hidden="false" customHeight="true" outlineLevel="0" collapsed="false">
      <c r="B291" s="51"/>
      <c r="C291" s="51"/>
      <c r="D291" s="52"/>
      <c r="E291" s="52"/>
    </row>
    <row r="292" customFormat="false" ht="28.5" hidden="false" customHeight="true" outlineLevel="0" collapsed="false">
      <c r="B292" s="51"/>
      <c r="C292" s="51"/>
      <c r="D292" s="52"/>
      <c r="E292" s="52"/>
    </row>
    <row r="293" customFormat="false" ht="28.5" hidden="false" customHeight="true" outlineLevel="0" collapsed="false">
      <c r="B293" s="51"/>
      <c r="C293" s="51"/>
      <c r="D293" s="52"/>
      <c r="E293" s="52"/>
    </row>
    <row r="294" customFormat="false" ht="28.5" hidden="false" customHeight="true" outlineLevel="0" collapsed="false">
      <c r="B294" s="51"/>
      <c r="C294" s="51"/>
      <c r="D294" s="52"/>
      <c r="E294" s="52"/>
    </row>
    <row r="295" customFormat="false" ht="28.5" hidden="false" customHeight="true" outlineLevel="0" collapsed="false">
      <c r="B295" s="51"/>
      <c r="C295" s="51"/>
      <c r="D295" s="52"/>
      <c r="E295" s="52"/>
    </row>
    <row r="296" customFormat="false" ht="28.5" hidden="false" customHeight="true" outlineLevel="0" collapsed="false">
      <c r="B296" s="51"/>
      <c r="C296" s="51"/>
      <c r="D296" s="52"/>
      <c r="E296" s="52"/>
    </row>
    <row r="297" customFormat="false" ht="28.5" hidden="false" customHeight="true" outlineLevel="0" collapsed="false">
      <c r="B297" s="51"/>
      <c r="C297" s="51"/>
      <c r="D297" s="52"/>
      <c r="E297" s="52"/>
    </row>
    <row r="298" customFormat="false" ht="28.5" hidden="false" customHeight="true" outlineLevel="0" collapsed="false">
      <c r="B298" s="51"/>
      <c r="C298" s="51"/>
      <c r="D298" s="52"/>
      <c r="E298" s="52"/>
    </row>
    <row r="299" customFormat="false" ht="28.5" hidden="false" customHeight="true" outlineLevel="0" collapsed="false">
      <c r="B299" s="51"/>
      <c r="C299" s="51"/>
      <c r="D299" s="52"/>
      <c r="E299" s="52"/>
    </row>
    <row r="300" customFormat="false" ht="28.5" hidden="false" customHeight="true" outlineLevel="0" collapsed="false">
      <c r="B300" s="51"/>
      <c r="C300" s="51"/>
      <c r="D300" s="52"/>
      <c r="E300" s="52"/>
    </row>
    <row r="301" customFormat="false" ht="28.5" hidden="false" customHeight="true" outlineLevel="0" collapsed="false">
      <c r="B301" s="51"/>
      <c r="C301" s="51"/>
      <c r="D301" s="52"/>
      <c r="E301" s="52"/>
    </row>
    <row r="302" customFormat="false" ht="28.5" hidden="false" customHeight="true" outlineLevel="0" collapsed="false">
      <c r="B302" s="51"/>
      <c r="C302" s="51"/>
      <c r="D302" s="52"/>
      <c r="E302" s="52"/>
    </row>
    <row r="303" customFormat="false" ht="28.5" hidden="false" customHeight="true" outlineLevel="0" collapsed="false">
      <c r="B303" s="51"/>
      <c r="C303" s="51"/>
      <c r="D303" s="52"/>
      <c r="E303" s="52"/>
    </row>
    <row r="304" customFormat="false" ht="28.5" hidden="false" customHeight="true" outlineLevel="0" collapsed="false">
      <c r="B304" s="51"/>
      <c r="C304" s="51"/>
      <c r="D304" s="52"/>
      <c r="E304" s="52"/>
    </row>
    <row r="305" customFormat="false" ht="28.5" hidden="false" customHeight="true" outlineLevel="0" collapsed="false">
      <c r="B305" s="51"/>
      <c r="C305" s="51"/>
      <c r="D305" s="52"/>
      <c r="E305" s="52"/>
    </row>
    <row r="306" customFormat="false" ht="28.5" hidden="false" customHeight="true" outlineLevel="0" collapsed="false">
      <c r="B306" s="51"/>
      <c r="C306" s="51"/>
      <c r="D306" s="52"/>
      <c r="E306" s="52"/>
    </row>
    <row r="307" customFormat="false" ht="28.5" hidden="false" customHeight="true" outlineLevel="0" collapsed="false">
      <c r="B307" s="51"/>
      <c r="C307" s="51"/>
      <c r="D307" s="52"/>
      <c r="E307" s="52"/>
    </row>
    <row r="308" customFormat="false" ht="28.5" hidden="false" customHeight="true" outlineLevel="0" collapsed="false">
      <c r="B308" s="51"/>
      <c r="C308" s="51"/>
      <c r="D308" s="52"/>
      <c r="E308" s="52"/>
    </row>
    <row r="309" customFormat="false" ht="28.5" hidden="false" customHeight="true" outlineLevel="0" collapsed="false">
      <c r="B309" s="51"/>
      <c r="C309" s="51"/>
      <c r="D309" s="52"/>
      <c r="E309" s="52"/>
    </row>
    <row r="310" customFormat="false" ht="28.5" hidden="false" customHeight="true" outlineLevel="0" collapsed="false">
      <c r="B310" s="51"/>
      <c r="C310" s="51"/>
      <c r="D310" s="52"/>
      <c r="E310" s="52"/>
    </row>
    <row r="311" customFormat="false" ht="28.5" hidden="false" customHeight="true" outlineLevel="0" collapsed="false">
      <c r="B311" s="51"/>
      <c r="C311" s="51"/>
      <c r="D311" s="52"/>
      <c r="E311" s="52"/>
    </row>
    <row r="312" customFormat="false" ht="28.5" hidden="false" customHeight="true" outlineLevel="0" collapsed="false">
      <c r="B312" s="51"/>
      <c r="C312" s="51"/>
      <c r="D312" s="52"/>
      <c r="E312" s="52"/>
    </row>
    <row r="313" customFormat="false" ht="28.5" hidden="false" customHeight="true" outlineLevel="0" collapsed="false">
      <c r="B313" s="51"/>
      <c r="C313" s="51"/>
      <c r="D313" s="52"/>
      <c r="E313" s="52"/>
    </row>
    <row r="314" customFormat="false" ht="28.5" hidden="false" customHeight="true" outlineLevel="0" collapsed="false">
      <c r="B314" s="51"/>
      <c r="C314" s="51"/>
      <c r="D314" s="52"/>
      <c r="E314" s="52"/>
    </row>
    <row r="315" customFormat="false" ht="28.5" hidden="false" customHeight="true" outlineLevel="0" collapsed="false">
      <c r="B315" s="51"/>
      <c r="C315" s="51"/>
      <c r="D315" s="52"/>
      <c r="E315" s="52"/>
    </row>
    <row r="316" customFormat="false" ht="28.5" hidden="false" customHeight="true" outlineLevel="0" collapsed="false">
      <c r="B316" s="51"/>
      <c r="C316" s="51"/>
      <c r="D316" s="52"/>
      <c r="E316" s="52"/>
    </row>
    <row r="317" customFormat="false" ht="28.5" hidden="false" customHeight="true" outlineLevel="0" collapsed="false">
      <c r="B317" s="51"/>
      <c r="C317" s="51"/>
      <c r="D317" s="52"/>
      <c r="E317" s="52"/>
    </row>
    <row r="318" customFormat="false" ht="28.5" hidden="false" customHeight="true" outlineLevel="0" collapsed="false">
      <c r="B318" s="51"/>
      <c r="C318" s="51"/>
      <c r="D318" s="52"/>
      <c r="E318" s="52"/>
    </row>
    <row r="319" customFormat="false" ht="28.5" hidden="false" customHeight="true" outlineLevel="0" collapsed="false">
      <c r="B319" s="51"/>
      <c r="C319" s="51"/>
      <c r="D319" s="52"/>
      <c r="E319" s="52"/>
    </row>
    <row r="320" customFormat="false" ht="28.5" hidden="false" customHeight="true" outlineLevel="0" collapsed="false">
      <c r="B320" s="51"/>
      <c r="C320" s="51"/>
      <c r="D320" s="52"/>
      <c r="E320" s="52"/>
    </row>
    <row r="321" customFormat="false" ht="28.5" hidden="false" customHeight="true" outlineLevel="0" collapsed="false">
      <c r="B321" s="51"/>
      <c r="C321" s="51"/>
      <c r="D321" s="52"/>
      <c r="E321" s="52"/>
    </row>
    <row r="322" customFormat="false" ht="28.5" hidden="false" customHeight="true" outlineLevel="0" collapsed="false">
      <c r="B322" s="51"/>
      <c r="C322" s="51"/>
      <c r="D322" s="52"/>
      <c r="E322" s="52"/>
    </row>
    <row r="323" customFormat="false" ht="28.5" hidden="false" customHeight="true" outlineLevel="0" collapsed="false">
      <c r="B323" s="51"/>
      <c r="C323" s="51"/>
      <c r="D323" s="52"/>
      <c r="E323" s="52"/>
    </row>
    <row r="324" customFormat="false" ht="28.5" hidden="false" customHeight="true" outlineLevel="0" collapsed="false">
      <c r="B324" s="51"/>
      <c r="C324" s="51"/>
      <c r="D324" s="52"/>
      <c r="E324" s="52"/>
    </row>
    <row r="325" customFormat="false" ht="28.5" hidden="false" customHeight="true" outlineLevel="0" collapsed="false">
      <c r="B325" s="51"/>
      <c r="C325" s="51"/>
      <c r="D325" s="52"/>
      <c r="E325" s="52"/>
    </row>
    <row r="326" customFormat="false" ht="28.5" hidden="false" customHeight="true" outlineLevel="0" collapsed="false">
      <c r="B326" s="51"/>
      <c r="C326" s="51"/>
      <c r="D326" s="52"/>
      <c r="E326" s="52"/>
    </row>
    <row r="327" customFormat="false" ht="28.5" hidden="false" customHeight="true" outlineLevel="0" collapsed="false">
      <c r="B327" s="51"/>
      <c r="C327" s="51"/>
      <c r="D327" s="52"/>
      <c r="E327" s="52"/>
    </row>
    <row r="328" customFormat="false" ht="28.5" hidden="false" customHeight="true" outlineLevel="0" collapsed="false">
      <c r="B328" s="51"/>
      <c r="C328" s="51"/>
      <c r="D328" s="52"/>
      <c r="E328" s="52"/>
    </row>
    <row r="329" customFormat="false" ht="28.5" hidden="false" customHeight="true" outlineLevel="0" collapsed="false">
      <c r="B329" s="51"/>
      <c r="C329" s="51"/>
      <c r="D329" s="52"/>
      <c r="E329" s="52"/>
    </row>
    <row r="330" customFormat="false" ht="28.5" hidden="false" customHeight="true" outlineLevel="0" collapsed="false">
      <c r="B330" s="51"/>
      <c r="C330" s="51"/>
      <c r="D330" s="52"/>
      <c r="E330" s="52"/>
    </row>
    <row r="331" customFormat="false" ht="28.5" hidden="false" customHeight="true" outlineLevel="0" collapsed="false">
      <c r="B331" s="51"/>
      <c r="C331" s="51"/>
      <c r="D331" s="52"/>
      <c r="E331" s="52"/>
    </row>
    <row r="332" customFormat="false" ht="28.5" hidden="false" customHeight="true" outlineLevel="0" collapsed="false">
      <c r="B332" s="51"/>
      <c r="C332" s="51"/>
      <c r="D332" s="52"/>
      <c r="E332" s="52"/>
    </row>
    <row r="333" customFormat="false" ht="28.5" hidden="false" customHeight="true" outlineLevel="0" collapsed="false">
      <c r="B333" s="51"/>
      <c r="C333" s="51"/>
      <c r="D333" s="52"/>
      <c r="E333" s="52"/>
    </row>
    <row r="334" customFormat="false" ht="28.5" hidden="false" customHeight="true" outlineLevel="0" collapsed="false">
      <c r="B334" s="51"/>
      <c r="C334" s="51"/>
      <c r="D334" s="52"/>
      <c r="E334" s="52"/>
    </row>
    <row r="335" customFormat="false" ht="28.5" hidden="false" customHeight="true" outlineLevel="0" collapsed="false">
      <c r="B335" s="51"/>
      <c r="C335" s="51"/>
      <c r="D335" s="52"/>
      <c r="E335" s="52"/>
    </row>
    <row r="336" customFormat="false" ht="28.5" hidden="false" customHeight="true" outlineLevel="0" collapsed="false">
      <c r="B336" s="51"/>
      <c r="C336" s="51"/>
      <c r="D336" s="52"/>
      <c r="E336" s="52"/>
    </row>
    <row r="337" customFormat="false" ht="28.5" hidden="false" customHeight="true" outlineLevel="0" collapsed="false">
      <c r="B337" s="51"/>
      <c r="C337" s="51"/>
      <c r="D337" s="52"/>
      <c r="E337" s="52"/>
    </row>
    <row r="338" customFormat="false" ht="28.5" hidden="false" customHeight="true" outlineLevel="0" collapsed="false">
      <c r="B338" s="51"/>
      <c r="C338" s="51"/>
      <c r="D338" s="52"/>
      <c r="E338" s="52"/>
    </row>
    <row r="339" customFormat="false" ht="28.5" hidden="false" customHeight="true" outlineLevel="0" collapsed="false">
      <c r="B339" s="51"/>
      <c r="C339" s="51"/>
      <c r="D339" s="52"/>
      <c r="E339" s="52"/>
    </row>
    <row r="340" customFormat="false" ht="28.5" hidden="false" customHeight="true" outlineLevel="0" collapsed="false">
      <c r="B340" s="51"/>
      <c r="C340" s="51"/>
      <c r="D340" s="52"/>
      <c r="E340" s="52"/>
    </row>
    <row r="341" customFormat="false" ht="28.5" hidden="false" customHeight="true" outlineLevel="0" collapsed="false">
      <c r="B341" s="51"/>
      <c r="C341" s="51"/>
      <c r="D341" s="52"/>
      <c r="E341" s="52"/>
    </row>
    <row r="342" customFormat="false" ht="28.5" hidden="false" customHeight="true" outlineLevel="0" collapsed="false">
      <c r="B342" s="51"/>
      <c r="C342" s="51"/>
      <c r="D342" s="52"/>
      <c r="E342" s="52"/>
    </row>
    <row r="343" customFormat="false" ht="28.5" hidden="false" customHeight="true" outlineLevel="0" collapsed="false">
      <c r="B343" s="51"/>
      <c r="C343" s="51"/>
      <c r="D343" s="52"/>
      <c r="E343" s="52"/>
    </row>
    <row r="344" customFormat="false" ht="28.5" hidden="false" customHeight="true" outlineLevel="0" collapsed="false">
      <c r="B344" s="51"/>
      <c r="C344" s="51"/>
      <c r="D344" s="52"/>
      <c r="E344" s="52"/>
    </row>
    <row r="345" customFormat="false" ht="28.5" hidden="false" customHeight="true" outlineLevel="0" collapsed="false">
      <c r="B345" s="51"/>
      <c r="C345" s="51"/>
      <c r="D345" s="52"/>
      <c r="E345" s="52"/>
    </row>
    <row r="346" customFormat="false" ht="28.5" hidden="false" customHeight="true" outlineLevel="0" collapsed="false">
      <c r="B346" s="51"/>
      <c r="C346" s="51"/>
      <c r="D346" s="52"/>
      <c r="E346" s="52"/>
    </row>
    <row r="347" customFormat="false" ht="28.5" hidden="false" customHeight="true" outlineLevel="0" collapsed="false">
      <c r="B347" s="51"/>
      <c r="C347" s="51"/>
      <c r="D347" s="52"/>
      <c r="E347" s="52"/>
    </row>
    <row r="348" customFormat="false" ht="28.5" hidden="false" customHeight="true" outlineLevel="0" collapsed="false">
      <c r="B348" s="51"/>
      <c r="C348" s="51"/>
      <c r="D348" s="52"/>
      <c r="E348" s="52"/>
    </row>
    <row r="349" customFormat="false" ht="28.5" hidden="false" customHeight="true" outlineLevel="0" collapsed="false">
      <c r="B349" s="51"/>
      <c r="C349" s="51"/>
      <c r="D349" s="52"/>
      <c r="E349" s="52"/>
    </row>
    <row r="350" customFormat="false" ht="28.5" hidden="false" customHeight="true" outlineLevel="0" collapsed="false">
      <c r="B350" s="51"/>
      <c r="C350" s="51"/>
      <c r="D350" s="52"/>
      <c r="E350" s="52"/>
    </row>
    <row r="351" customFormat="false" ht="28.5" hidden="false" customHeight="true" outlineLevel="0" collapsed="false">
      <c r="B351" s="51"/>
      <c r="C351" s="51"/>
      <c r="D351" s="52"/>
      <c r="E351" s="52"/>
    </row>
    <row r="352" customFormat="false" ht="28.5" hidden="false" customHeight="true" outlineLevel="0" collapsed="false">
      <c r="B352" s="51"/>
      <c r="C352" s="51"/>
      <c r="D352" s="52"/>
      <c r="E352" s="52"/>
    </row>
    <row r="353" customFormat="false" ht="28.5" hidden="false" customHeight="true" outlineLevel="0" collapsed="false">
      <c r="B353" s="51"/>
      <c r="C353" s="51"/>
      <c r="D353" s="52"/>
      <c r="E353" s="52"/>
    </row>
    <row r="354" customFormat="false" ht="28.5" hidden="false" customHeight="true" outlineLevel="0" collapsed="false">
      <c r="B354" s="51"/>
      <c r="C354" s="51"/>
      <c r="D354" s="52"/>
      <c r="E354" s="52"/>
    </row>
    <row r="355" customFormat="false" ht="28.5" hidden="false" customHeight="true" outlineLevel="0" collapsed="false">
      <c r="B355" s="51"/>
      <c r="C355" s="51"/>
      <c r="D355" s="52"/>
      <c r="E355" s="52"/>
    </row>
    <row r="356" customFormat="false" ht="28.5" hidden="false" customHeight="true" outlineLevel="0" collapsed="false">
      <c r="B356" s="51"/>
      <c r="C356" s="51"/>
      <c r="D356" s="52"/>
      <c r="E356" s="52"/>
    </row>
    <row r="357" customFormat="false" ht="28.5" hidden="false" customHeight="true" outlineLevel="0" collapsed="false">
      <c r="B357" s="51"/>
      <c r="C357" s="51"/>
      <c r="D357" s="52"/>
      <c r="E357" s="52"/>
    </row>
    <row r="358" customFormat="false" ht="28.5" hidden="false" customHeight="true" outlineLevel="0" collapsed="false">
      <c r="B358" s="51"/>
      <c r="C358" s="51"/>
      <c r="D358" s="52"/>
      <c r="E358" s="52"/>
    </row>
    <row r="359" customFormat="false" ht="28.5" hidden="false" customHeight="true" outlineLevel="0" collapsed="false">
      <c r="B359" s="51"/>
      <c r="C359" s="51"/>
      <c r="D359" s="52"/>
      <c r="E359" s="52"/>
    </row>
    <row r="360" customFormat="false" ht="28.5" hidden="false" customHeight="true" outlineLevel="0" collapsed="false">
      <c r="B360" s="51"/>
      <c r="C360" s="51"/>
      <c r="D360" s="52"/>
      <c r="E360" s="52"/>
    </row>
    <row r="361" customFormat="false" ht="28.5" hidden="false" customHeight="true" outlineLevel="0" collapsed="false">
      <c r="B361" s="51"/>
      <c r="C361" s="51"/>
      <c r="D361" s="52"/>
      <c r="E361" s="52"/>
    </row>
    <row r="362" customFormat="false" ht="28.5" hidden="false" customHeight="true" outlineLevel="0" collapsed="false">
      <c r="B362" s="51"/>
      <c r="C362" s="51"/>
      <c r="D362" s="52"/>
      <c r="E362" s="52"/>
    </row>
    <row r="363" customFormat="false" ht="28.5" hidden="false" customHeight="true" outlineLevel="0" collapsed="false">
      <c r="B363" s="51"/>
      <c r="C363" s="51"/>
      <c r="D363" s="52"/>
      <c r="E363" s="52"/>
    </row>
    <row r="364" customFormat="false" ht="28.5" hidden="false" customHeight="true" outlineLevel="0" collapsed="false">
      <c r="B364" s="51"/>
      <c r="C364" s="51"/>
      <c r="D364" s="52"/>
      <c r="E364" s="52"/>
    </row>
    <row r="365" customFormat="false" ht="28.5" hidden="false" customHeight="true" outlineLevel="0" collapsed="false">
      <c r="B365" s="51"/>
      <c r="C365" s="51"/>
      <c r="D365" s="52"/>
      <c r="E365" s="52"/>
    </row>
    <row r="366" customFormat="false" ht="28.5" hidden="false" customHeight="true" outlineLevel="0" collapsed="false">
      <c r="B366" s="51"/>
      <c r="C366" s="51"/>
      <c r="D366" s="52"/>
      <c r="E366" s="52"/>
    </row>
    <row r="367" customFormat="false" ht="28.5" hidden="false" customHeight="true" outlineLevel="0" collapsed="false">
      <c r="B367" s="51"/>
      <c r="C367" s="51"/>
      <c r="D367" s="52"/>
      <c r="E367" s="52"/>
    </row>
    <row r="368" customFormat="false" ht="28.5" hidden="false" customHeight="true" outlineLevel="0" collapsed="false">
      <c r="B368" s="51"/>
      <c r="C368" s="51"/>
      <c r="D368" s="52"/>
      <c r="E368" s="52"/>
    </row>
    <row r="369" customFormat="false" ht="28.5" hidden="false" customHeight="true" outlineLevel="0" collapsed="false">
      <c r="B369" s="51"/>
      <c r="C369" s="51"/>
      <c r="D369" s="52"/>
      <c r="E369" s="52"/>
    </row>
    <row r="370" customFormat="false" ht="28.5" hidden="false" customHeight="true" outlineLevel="0" collapsed="false">
      <c r="B370" s="51"/>
      <c r="C370" s="51"/>
      <c r="D370" s="52"/>
      <c r="E370" s="52"/>
    </row>
    <row r="371" customFormat="false" ht="28.5" hidden="false" customHeight="true" outlineLevel="0" collapsed="false">
      <c r="B371" s="51"/>
      <c r="C371" s="51"/>
      <c r="D371" s="52"/>
      <c r="E371" s="52"/>
    </row>
    <row r="372" customFormat="false" ht="28.5" hidden="false" customHeight="true" outlineLevel="0" collapsed="false">
      <c r="B372" s="51"/>
      <c r="C372" s="51"/>
      <c r="D372" s="52"/>
      <c r="E372" s="52"/>
    </row>
    <row r="373" customFormat="false" ht="28.5" hidden="false" customHeight="true" outlineLevel="0" collapsed="false">
      <c r="B373" s="51"/>
      <c r="C373" s="51"/>
      <c r="D373" s="52"/>
      <c r="E373" s="52"/>
    </row>
    <row r="374" customFormat="false" ht="28.5" hidden="false" customHeight="true" outlineLevel="0" collapsed="false">
      <c r="B374" s="51"/>
      <c r="C374" s="51"/>
      <c r="D374" s="52"/>
      <c r="E374" s="52"/>
    </row>
    <row r="375" customFormat="false" ht="28.5" hidden="false" customHeight="true" outlineLevel="0" collapsed="false">
      <c r="B375" s="51"/>
      <c r="C375" s="51"/>
      <c r="D375" s="52"/>
      <c r="E375" s="52"/>
    </row>
    <row r="376" customFormat="false" ht="28.5" hidden="false" customHeight="true" outlineLevel="0" collapsed="false">
      <c r="B376" s="51"/>
      <c r="C376" s="51"/>
      <c r="D376" s="52"/>
      <c r="E376" s="52"/>
    </row>
    <row r="377" customFormat="false" ht="28.5" hidden="false" customHeight="true" outlineLevel="0" collapsed="false">
      <c r="B377" s="51"/>
      <c r="C377" s="51"/>
      <c r="D377" s="52"/>
      <c r="E377" s="52"/>
    </row>
    <row r="378" customFormat="false" ht="28.5" hidden="false" customHeight="true" outlineLevel="0" collapsed="false">
      <c r="B378" s="51"/>
      <c r="C378" s="51"/>
      <c r="D378" s="52"/>
      <c r="E378" s="52"/>
    </row>
    <row r="379" customFormat="false" ht="28.5" hidden="false" customHeight="true" outlineLevel="0" collapsed="false">
      <c r="B379" s="51"/>
      <c r="C379" s="51"/>
      <c r="D379" s="52"/>
      <c r="E379" s="52"/>
    </row>
    <row r="380" customFormat="false" ht="28.5" hidden="false" customHeight="true" outlineLevel="0" collapsed="false">
      <c r="B380" s="51"/>
      <c r="C380" s="51"/>
      <c r="D380" s="52"/>
      <c r="E380" s="52"/>
    </row>
    <row r="381" customFormat="false" ht="28.5" hidden="false" customHeight="true" outlineLevel="0" collapsed="false">
      <c r="B381" s="51"/>
      <c r="C381" s="51"/>
      <c r="D381" s="52"/>
      <c r="E381" s="52"/>
    </row>
    <row r="382" customFormat="false" ht="28.5" hidden="false" customHeight="true" outlineLevel="0" collapsed="false">
      <c r="B382" s="51"/>
      <c r="C382" s="51"/>
      <c r="D382" s="52"/>
      <c r="E382" s="52"/>
    </row>
    <row r="383" customFormat="false" ht="28.5" hidden="false" customHeight="true" outlineLevel="0" collapsed="false">
      <c r="B383" s="51"/>
      <c r="C383" s="51"/>
      <c r="D383" s="52"/>
      <c r="E383" s="52"/>
    </row>
    <row r="384" customFormat="false" ht="28.5" hidden="false" customHeight="true" outlineLevel="0" collapsed="false">
      <c r="B384" s="51"/>
      <c r="C384" s="51"/>
      <c r="D384" s="52"/>
      <c r="E384" s="52"/>
    </row>
    <row r="385" customFormat="false" ht="28.5" hidden="false" customHeight="true" outlineLevel="0" collapsed="false">
      <c r="B385" s="51"/>
      <c r="C385" s="51"/>
      <c r="D385" s="52"/>
      <c r="E385" s="52"/>
    </row>
    <row r="386" customFormat="false" ht="28.5" hidden="false" customHeight="true" outlineLevel="0" collapsed="false">
      <c r="B386" s="51"/>
      <c r="C386" s="51"/>
      <c r="D386" s="52"/>
      <c r="E386" s="52"/>
    </row>
  </sheetData>
  <autoFilter ref="A2:M136"/>
  <mergeCells count="2">
    <mergeCell ref="A1:E1"/>
    <mergeCell ref="F1:M1"/>
  </mergeCells>
  <printOptions headings="false" gridLines="false" gridLinesSet="true" horizontalCentered="false" verticalCentered="false"/>
  <pageMargins left="0.7" right="0.7" top="0.75" bottom="0.75" header="0.3" footer="0.3"/>
  <pageSetup paperSize="9" scale="33" fitToWidth="1" fitToHeight="1" pageOrder="downThenOver" orientation="portrait" blackAndWhite="false" draft="false" cellComments="none" horizontalDpi="300" verticalDpi="300" copies="1"/>
  <headerFooter differentFirst="false" differentOddEven="false">
    <oddHeader>&amp;LCMED Construction&amp;CRFQ RAW DATA COMPILED&amp;RSubmit  By : Ek Buthen</oddHeader>
    <oddFooter>&amp;L&amp;Z&amp;F&amp;RPage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K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42"/>
    <col collapsed="false" customWidth="true" hidden="false" outlineLevel="0" max="11" min="11" style="0" width="10"/>
    <col collapsed="false" customWidth="true" hidden="false" outlineLevel="0" max="12" min="12" style="0" width="5"/>
    <col collapsed="false" customWidth="true" hidden="false" outlineLevel="0" max="13" min="13" style="0" width="14"/>
    <col collapsed="false" customWidth="true" hidden="false" outlineLevel="0" max="14" min="14" style="0" width="6"/>
    <col collapsed="false" customWidth="true" hidden="false" outlineLevel="0" max="16" min="15" style="0" width="7"/>
    <col collapsed="false" customWidth="true" hidden="false" outlineLevel="0" max="17" min="17" style="0" width="8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8"/>
    <col collapsed="false" customWidth="true" hidden="false" outlineLevel="0" max="22" min="22" style="0" width="10"/>
    <col collapsed="false" customWidth="true" hidden="false" outlineLevel="0" max="23" min="23" style="0" width="6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8"/>
    <col collapsed="false" customWidth="true" hidden="false" outlineLevel="0" max="27" min="27" style="0" width="6"/>
    <col collapsed="false" customWidth="true" hidden="false" outlineLevel="0" max="28" min="28" style="0" width="10"/>
    <col collapsed="false" customWidth="true" hidden="false" outlineLevel="0" max="29" min="29" style="0" width="30"/>
  </cols>
  <sheetData>
    <row r="1" customFormat="false" ht="17.35" hidden="false" customHeight="false" outlineLevel="0" collapsed="false">
      <c r="A1" s="53" t="s">
        <v>187</v>
      </c>
    </row>
    <row r="2" customFormat="false" ht="15" hidden="false" customHeight="false" outlineLevel="0" collapsed="false">
      <c r="A2" s="54" t="s">
        <v>188</v>
      </c>
    </row>
    <row r="4" customFormat="false" ht="22.35" hidden="false" customHeight="false" outlineLevel="0" collapsed="false">
      <c r="A4" s="55" t="s">
        <v>189</v>
      </c>
      <c r="B4" s="55" t="s">
        <v>190</v>
      </c>
      <c r="C4" s="55" t="s">
        <v>191</v>
      </c>
      <c r="D4" s="55" t="s">
        <v>0</v>
      </c>
      <c r="E4" s="55" t="s">
        <v>192</v>
      </c>
      <c r="F4" s="55" t="s">
        <v>193</v>
      </c>
      <c r="G4" s="55" t="s">
        <v>194</v>
      </c>
      <c r="H4" s="55" t="s">
        <v>88</v>
      </c>
      <c r="I4" s="55" t="s">
        <v>195</v>
      </c>
      <c r="J4" s="55" t="s">
        <v>196</v>
      </c>
      <c r="K4" s="55" t="s">
        <v>197</v>
      </c>
      <c r="L4" s="55" t="s">
        <v>198</v>
      </c>
      <c r="M4" s="55" t="s">
        <v>199</v>
      </c>
      <c r="N4" s="55" t="s">
        <v>200</v>
      </c>
      <c r="O4" s="55" t="s">
        <v>201</v>
      </c>
      <c r="P4" s="55" t="s">
        <v>202</v>
      </c>
      <c r="Q4" s="55" t="s">
        <v>203</v>
      </c>
      <c r="R4" s="55" t="s">
        <v>204</v>
      </c>
      <c r="S4" s="55" t="s">
        <v>205</v>
      </c>
      <c r="T4" s="55" t="s">
        <v>206</v>
      </c>
      <c r="U4" s="55" t="s">
        <v>207</v>
      </c>
      <c r="V4" s="55" t="s">
        <v>208</v>
      </c>
      <c r="W4" s="55" t="s">
        <v>34</v>
      </c>
      <c r="X4" s="55" t="s">
        <v>209</v>
      </c>
      <c r="Y4" s="55" t="s">
        <v>210</v>
      </c>
      <c r="Z4" s="55" t="s">
        <v>211</v>
      </c>
      <c r="AA4" s="55" t="s">
        <v>212</v>
      </c>
      <c r="AB4" s="55" t="s">
        <v>213</v>
      </c>
      <c r="AC4" s="55" t="s">
        <v>214</v>
      </c>
    </row>
    <row r="5" customFormat="false" ht="15" hidden="false" customHeight="false" outlineLevel="0" collapsed="false">
      <c r="A5" s="56" t="s">
        <v>215</v>
      </c>
      <c r="B5" s="56" t="s">
        <v>216</v>
      </c>
      <c r="C5" s="56" t="s">
        <v>4</v>
      </c>
      <c r="D5" s="56" t="s">
        <v>217</v>
      </c>
      <c r="E5" s="56" t="s">
        <v>218</v>
      </c>
      <c r="F5" s="56" t="s">
        <v>219</v>
      </c>
      <c r="G5" s="56" t="s">
        <v>220</v>
      </c>
      <c r="H5" s="56" t="s">
        <v>221</v>
      </c>
      <c r="I5" s="56" t="s">
        <v>218</v>
      </c>
      <c r="J5" s="56" t="s">
        <v>222</v>
      </c>
      <c r="K5" s="56" t="s">
        <v>223</v>
      </c>
      <c r="L5" s="56" t="s">
        <v>223</v>
      </c>
      <c r="M5" s="56" t="s">
        <v>224</v>
      </c>
      <c r="N5" s="57" t="n">
        <v>18</v>
      </c>
      <c r="O5" s="58" t="n">
        <v>1</v>
      </c>
      <c r="P5" s="58" t="n">
        <v>1</v>
      </c>
      <c r="Q5" s="58" t="n">
        <v>1</v>
      </c>
      <c r="R5" s="58" t="n">
        <v>1</v>
      </c>
      <c r="S5" s="57" t="n">
        <v>0</v>
      </c>
      <c r="T5" s="59" t="n">
        <f aca="false">N5*O5*P5*Q5*R5-S5</f>
        <v>18</v>
      </c>
      <c r="U5" s="57" t="n">
        <v>0</v>
      </c>
      <c r="V5" s="59" t="n">
        <f aca="false">T5*(1+U5/100)</f>
        <v>18</v>
      </c>
      <c r="W5" s="56" t="s">
        <v>225</v>
      </c>
      <c r="X5" s="60" t="n">
        <v>1200</v>
      </c>
      <c r="Y5" s="61" t="n">
        <f aca="false">V5*X5</f>
        <v>21600</v>
      </c>
      <c r="Z5" s="56" t="s">
        <v>226</v>
      </c>
      <c r="AA5" s="56" t="s">
        <v>227</v>
      </c>
      <c r="AB5" s="56" t="s">
        <v>228</v>
      </c>
      <c r="AC5" s="62" t="s">
        <v>229</v>
      </c>
    </row>
    <row r="6" customFormat="false" ht="15" hidden="false" customHeight="false" outlineLevel="0" collapsed="false">
      <c r="A6" s="56" t="s">
        <v>230</v>
      </c>
      <c r="B6" s="56" t="s">
        <v>216</v>
      </c>
      <c r="C6" s="56" t="s">
        <v>4</v>
      </c>
      <c r="D6" s="56" t="s">
        <v>217</v>
      </c>
      <c r="E6" s="56" t="s">
        <v>231</v>
      </c>
      <c r="F6" s="56" t="s">
        <v>219</v>
      </c>
      <c r="G6" s="56" t="s">
        <v>220</v>
      </c>
      <c r="H6" s="56" t="s">
        <v>232</v>
      </c>
      <c r="I6" s="56" t="s">
        <v>231</v>
      </c>
      <c r="J6" s="56" t="s">
        <v>233</v>
      </c>
      <c r="K6" s="56" t="s">
        <v>234</v>
      </c>
      <c r="L6" s="56" t="s">
        <v>235</v>
      </c>
      <c r="M6" s="56" t="s">
        <v>236</v>
      </c>
      <c r="N6" s="57" t="n">
        <v>1</v>
      </c>
      <c r="O6" s="58" t="n">
        <v>115</v>
      </c>
      <c r="P6" s="58" t="n">
        <v>1</v>
      </c>
      <c r="Q6" s="58" t="n">
        <v>36</v>
      </c>
      <c r="R6" s="58" t="n">
        <v>1</v>
      </c>
      <c r="S6" s="57" t="n">
        <v>0</v>
      </c>
      <c r="T6" s="59" t="n">
        <f aca="false">N6*O6*P6*Q6*R6-S6</f>
        <v>4140</v>
      </c>
      <c r="U6" s="57" t="n">
        <v>0</v>
      </c>
      <c r="V6" s="59" t="n">
        <f aca="false">T6*(1+U6/100)</f>
        <v>4140</v>
      </c>
      <c r="W6" s="56" t="s">
        <v>45</v>
      </c>
      <c r="X6" s="60" t="n">
        <v>7.2</v>
      </c>
      <c r="Y6" s="61" t="n">
        <f aca="false">V6*X6</f>
        <v>29808</v>
      </c>
      <c r="Z6" s="56" t="s">
        <v>226</v>
      </c>
      <c r="AA6" s="56" t="s">
        <v>227</v>
      </c>
      <c r="AB6" s="56" t="s">
        <v>228</v>
      </c>
      <c r="AC6" s="62" t="s">
        <v>237</v>
      </c>
    </row>
    <row r="7" customFormat="false" ht="15" hidden="false" customHeight="false" outlineLevel="0" collapsed="false">
      <c r="A7" s="63" t="s">
        <v>238</v>
      </c>
      <c r="B7" s="63" t="s">
        <v>216</v>
      </c>
      <c r="C7" s="63" t="s">
        <v>4</v>
      </c>
      <c r="D7" s="63" t="s">
        <v>239</v>
      </c>
      <c r="E7" s="63" t="s">
        <v>240</v>
      </c>
      <c r="F7" s="63" t="s">
        <v>241</v>
      </c>
      <c r="G7" s="63" t="s">
        <v>61</v>
      </c>
      <c r="H7" s="63" t="s">
        <v>43</v>
      </c>
      <c r="I7" s="63" t="s">
        <v>242</v>
      </c>
      <c r="J7" s="63" t="s">
        <v>243</v>
      </c>
      <c r="K7" s="63" t="s">
        <v>244</v>
      </c>
      <c r="L7" s="63" t="s">
        <v>245</v>
      </c>
      <c r="M7" s="63" t="s">
        <v>246</v>
      </c>
      <c r="N7" s="57" t="n">
        <v>12</v>
      </c>
      <c r="O7" s="58" t="n">
        <v>2.5</v>
      </c>
      <c r="P7" s="58" t="n">
        <v>2.5</v>
      </c>
      <c r="Q7" s="58" t="n">
        <v>1.2</v>
      </c>
      <c r="R7" s="58" t="n">
        <v>1</v>
      </c>
      <c r="S7" s="57" t="n">
        <v>0</v>
      </c>
      <c r="T7" s="64" t="n">
        <f aca="false">N7*O7*P7*Q7*R7-S7</f>
        <v>90</v>
      </c>
      <c r="U7" s="57" t="n">
        <v>2</v>
      </c>
      <c r="V7" s="64" t="n">
        <f aca="false">T7*(1+U7/100)</f>
        <v>91.8</v>
      </c>
      <c r="W7" s="63" t="s">
        <v>47</v>
      </c>
      <c r="X7" s="60" t="n">
        <v>74</v>
      </c>
      <c r="Y7" s="65" t="n">
        <f aca="false">V7*X7</f>
        <v>6793.2</v>
      </c>
      <c r="Z7" s="63" t="s">
        <v>226</v>
      </c>
      <c r="AA7" s="63" t="s">
        <v>227</v>
      </c>
      <c r="AB7" s="63" t="s">
        <v>228</v>
      </c>
      <c r="AC7" s="66" t="s">
        <v>247</v>
      </c>
    </row>
    <row r="8" customFormat="false" ht="15" hidden="false" customHeight="false" outlineLevel="0" collapsed="false">
      <c r="A8" s="63" t="s">
        <v>248</v>
      </c>
      <c r="B8" s="63" t="s">
        <v>216</v>
      </c>
      <c r="C8" s="63" t="s">
        <v>4</v>
      </c>
      <c r="D8" s="63" t="s">
        <v>239</v>
      </c>
      <c r="E8" s="63" t="s">
        <v>240</v>
      </c>
      <c r="F8" s="63" t="s">
        <v>241</v>
      </c>
      <c r="G8" s="63" t="s">
        <v>61</v>
      </c>
      <c r="H8" s="63" t="s">
        <v>43</v>
      </c>
      <c r="I8" s="63" t="s">
        <v>249</v>
      </c>
      <c r="J8" s="63" t="s">
        <v>250</v>
      </c>
      <c r="K8" s="63" t="s">
        <v>244</v>
      </c>
      <c r="L8" s="63" t="s">
        <v>245</v>
      </c>
      <c r="M8" s="63" t="s">
        <v>246</v>
      </c>
      <c r="N8" s="57" t="n">
        <v>576</v>
      </c>
      <c r="O8" s="58" t="n">
        <v>3.2</v>
      </c>
      <c r="P8" s="58" t="n">
        <v>1</v>
      </c>
      <c r="Q8" s="58" t="n">
        <v>1</v>
      </c>
      <c r="R8" s="58" t="n">
        <v>2.466</v>
      </c>
      <c r="S8" s="57" t="n">
        <v>0</v>
      </c>
      <c r="T8" s="64" t="n">
        <f aca="false">N8*O8*P8*Q8*R8-S8</f>
        <v>4545.3312</v>
      </c>
      <c r="U8" s="57" t="n">
        <v>3</v>
      </c>
      <c r="V8" s="64" t="n">
        <f aca="false">T8*(1+U8/100)</f>
        <v>4681.691136</v>
      </c>
      <c r="W8" s="63" t="s">
        <v>49</v>
      </c>
      <c r="X8" s="60" t="n">
        <v>0.925</v>
      </c>
      <c r="Y8" s="65" t="n">
        <f aca="false">V8*X8</f>
        <v>4330.5643008</v>
      </c>
      <c r="Z8" s="63" t="s">
        <v>226</v>
      </c>
      <c r="AA8" s="63" t="s">
        <v>227</v>
      </c>
      <c r="AB8" s="63" t="s">
        <v>228</v>
      </c>
      <c r="AC8" s="66" t="s">
        <v>251</v>
      </c>
    </row>
    <row r="9" customFormat="false" ht="15" hidden="false" customHeight="false" outlineLevel="0" collapsed="false">
      <c r="A9" s="63" t="s">
        <v>252</v>
      </c>
      <c r="B9" s="63" t="s">
        <v>216</v>
      </c>
      <c r="C9" s="63" t="s">
        <v>4</v>
      </c>
      <c r="D9" s="63" t="s">
        <v>253</v>
      </c>
      <c r="E9" s="63" t="s">
        <v>254</v>
      </c>
      <c r="F9" s="63" t="s">
        <v>241</v>
      </c>
      <c r="G9" s="63" t="s">
        <v>68</v>
      </c>
      <c r="H9" s="63" t="s">
        <v>71</v>
      </c>
      <c r="I9" s="63" t="s">
        <v>255</v>
      </c>
      <c r="J9" s="63" t="s">
        <v>256</v>
      </c>
      <c r="K9" s="63" t="s">
        <v>257</v>
      </c>
      <c r="L9" s="63" t="s">
        <v>235</v>
      </c>
      <c r="M9" s="63" t="s">
        <v>258</v>
      </c>
      <c r="N9" s="57" t="n">
        <v>18</v>
      </c>
      <c r="O9" s="58" t="n">
        <v>0.6</v>
      </c>
      <c r="P9" s="58" t="n">
        <v>0.6</v>
      </c>
      <c r="Q9" s="58" t="n">
        <v>3.5</v>
      </c>
      <c r="R9" s="58" t="n">
        <v>1</v>
      </c>
      <c r="S9" s="57" t="n">
        <v>0</v>
      </c>
      <c r="T9" s="64" t="n">
        <f aca="false">N9*O9*P9*Q9*R9-S9</f>
        <v>22.68</v>
      </c>
      <c r="U9" s="57" t="n">
        <v>2</v>
      </c>
      <c r="V9" s="64" t="n">
        <f aca="false">T9*(1+U9/100)</f>
        <v>23.1336</v>
      </c>
      <c r="W9" s="63" t="s">
        <v>47</v>
      </c>
      <c r="X9" s="60" t="n">
        <v>70</v>
      </c>
      <c r="Y9" s="65" t="n">
        <f aca="false">V9*X9</f>
        <v>1619.352</v>
      </c>
      <c r="Z9" s="63" t="s">
        <v>226</v>
      </c>
      <c r="AA9" s="63" t="s">
        <v>227</v>
      </c>
      <c r="AB9" s="63" t="s">
        <v>228</v>
      </c>
      <c r="AC9" s="66" t="s">
        <v>259</v>
      </c>
    </row>
    <row r="10" customFormat="false" ht="15" hidden="false" customHeight="false" outlineLevel="0" collapsed="false">
      <c r="A10" s="63" t="s">
        <v>260</v>
      </c>
      <c r="B10" s="63" t="s">
        <v>216</v>
      </c>
      <c r="C10" s="63" t="s">
        <v>4</v>
      </c>
      <c r="D10" s="63" t="s">
        <v>253</v>
      </c>
      <c r="E10" s="63" t="s">
        <v>254</v>
      </c>
      <c r="F10" s="63" t="s">
        <v>241</v>
      </c>
      <c r="G10" s="63" t="s">
        <v>68</v>
      </c>
      <c r="H10" s="63" t="s">
        <v>71</v>
      </c>
      <c r="I10" s="63" t="s">
        <v>261</v>
      </c>
      <c r="J10" s="63" t="s">
        <v>262</v>
      </c>
      <c r="K10" s="63" t="s">
        <v>257</v>
      </c>
      <c r="L10" s="63" t="s">
        <v>235</v>
      </c>
      <c r="M10" s="63" t="s">
        <v>258</v>
      </c>
      <c r="N10" s="57" t="n">
        <v>18</v>
      </c>
      <c r="O10" s="58" t="n">
        <v>2.4</v>
      </c>
      <c r="P10" s="58" t="n">
        <v>1</v>
      </c>
      <c r="Q10" s="58" t="n">
        <v>3.5</v>
      </c>
      <c r="R10" s="58" t="n">
        <v>1</v>
      </c>
      <c r="S10" s="57" t="n">
        <v>0</v>
      </c>
      <c r="T10" s="64" t="n">
        <f aca="false">N10*O10*P10*Q10*R10-S10</f>
        <v>151.2</v>
      </c>
      <c r="U10" s="57" t="n">
        <v>5</v>
      </c>
      <c r="V10" s="64" t="n">
        <f aca="false">T10*(1+U10/100)</f>
        <v>158.76</v>
      </c>
      <c r="W10" s="63" t="s">
        <v>45</v>
      </c>
      <c r="X10" s="60" t="n">
        <v>20</v>
      </c>
      <c r="Y10" s="65" t="n">
        <f aca="false">V10*X10</f>
        <v>3175.2</v>
      </c>
      <c r="Z10" s="63" t="s">
        <v>226</v>
      </c>
      <c r="AA10" s="63" t="s">
        <v>227</v>
      </c>
      <c r="AB10" s="63" t="s">
        <v>228</v>
      </c>
      <c r="AC10" s="66" t="s">
        <v>263</v>
      </c>
    </row>
    <row r="11" customFormat="false" ht="15" hidden="false" customHeight="false" outlineLevel="0" collapsed="false">
      <c r="A11" s="67" t="s">
        <v>264</v>
      </c>
      <c r="B11" s="67" t="s">
        <v>216</v>
      </c>
      <c r="C11" s="67" t="s">
        <v>4</v>
      </c>
      <c r="D11" s="67" t="s">
        <v>253</v>
      </c>
      <c r="E11" s="67" t="s">
        <v>265</v>
      </c>
      <c r="F11" s="67" t="s">
        <v>266</v>
      </c>
      <c r="G11" s="67" t="s">
        <v>267</v>
      </c>
      <c r="H11" s="67" t="s">
        <v>268</v>
      </c>
      <c r="I11" s="67" t="s">
        <v>269</v>
      </c>
      <c r="J11" s="67" t="s">
        <v>270</v>
      </c>
      <c r="K11" s="67" t="s">
        <v>271</v>
      </c>
      <c r="L11" s="67" t="s">
        <v>235</v>
      </c>
      <c r="M11" s="67" t="s">
        <v>272</v>
      </c>
      <c r="N11" s="57" t="n">
        <v>1</v>
      </c>
      <c r="O11" s="58" t="n">
        <v>25</v>
      </c>
      <c r="P11" s="58" t="n">
        <v>1</v>
      </c>
      <c r="Q11" s="58" t="n">
        <v>3.5</v>
      </c>
      <c r="R11" s="58" t="n">
        <v>1</v>
      </c>
      <c r="S11" s="57" t="n">
        <v>8</v>
      </c>
      <c r="T11" s="68" t="n">
        <f aca="false">N11*O11*P11*Q11*R11-S11</f>
        <v>79.5</v>
      </c>
      <c r="U11" s="57" t="n">
        <v>5</v>
      </c>
      <c r="V11" s="68" t="n">
        <f aca="false">T11*(1+U11/100)</f>
        <v>83.475</v>
      </c>
      <c r="W11" s="67" t="s">
        <v>45</v>
      </c>
      <c r="X11" s="60" t="n">
        <v>14</v>
      </c>
      <c r="Y11" s="69" t="n">
        <f aca="false">V11*X11</f>
        <v>1168.65</v>
      </c>
      <c r="Z11" s="67" t="s">
        <v>226</v>
      </c>
      <c r="AA11" s="67" t="s">
        <v>227</v>
      </c>
      <c r="AB11" s="67" t="s">
        <v>228</v>
      </c>
      <c r="AC11" s="70" t="s">
        <v>273</v>
      </c>
    </row>
    <row r="12" customFormat="false" ht="15" hidden="false" customHeight="false" outlineLevel="0" collapsed="false">
      <c r="A12" s="67" t="s">
        <v>274</v>
      </c>
      <c r="B12" s="67" t="s">
        <v>216</v>
      </c>
      <c r="C12" s="67" t="s">
        <v>4</v>
      </c>
      <c r="D12" s="67" t="s">
        <v>253</v>
      </c>
      <c r="E12" s="67" t="s">
        <v>275</v>
      </c>
      <c r="F12" s="67" t="s">
        <v>266</v>
      </c>
      <c r="G12" s="67" t="s">
        <v>276</v>
      </c>
      <c r="H12" s="67" t="s">
        <v>277</v>
      </c>
      <c r="I12" s="67" t="s">
        <v>278</v>
      </c>
      <c r="J12" s="67" t="s">
        <v>279</v>
      </c>
      <c r="K12" s="67" t="s">
        <v>280</v>
      </c>
      <c r="L12" s="67" t="s">
        <v>235</v>
      </c>
      <c r="M12" s="67" t="s">
        <v>281</v>
      </c>
      <c r="N12" s="57" t="n">
        <v>1</v>
      </c>
      <c r="O12" s="58" t="n">
        <v>8.4</v>
      </c>
      <c r="P12" s="58" t="n">
        <v>7.2</v>
      </c>
      <c r="Q12" s="58" t="n">
        <v>1</v>
      </c>
      <c r="R12" s="58" t="n">
        <v>1</v>
      </c>
      <c r="S12" s="57" t="n">
        <v>0</v>
      </c>
      <c r="T12" s="68" t="n">
        <f aca="false">N12*O12*P12*Q12*R12-S12</f>
        <v>60.48</v>
      </c>
      <c r="U12" s="57" t="n">
        <v>7</v>
      </c>
      <c r="V12" s="68" t="n">
        <f aca="false">T12*(1+U12/100)</f>
        <v>64.7136</v>
      </c>
      <c r="W12" s="67" t="s">
        <v>45</v>
      </c>
      <c r="X12" s="60" t="n">
        <v>22</v>
      </c>
      <c r="Y12" s="69" t="n">
        <f aca="false">V12*X12</f>
        <v>1423.6992</v>
      </c>
      <c r="Z12" s="67" t="s">
        <v>226</v>
      </c>
      <c r="AA12" s="67" t="s">
        <v>227</v>
      </c>
      <c r="AB12" s="67" t="s">
        <v>228</v>
      </c>
      <c r="AC12" s="70" t="s">
        <v>282</v>
      </c>
    </row>
    <row r="13" customFormat="false" ht="15" hidden="false" customHeight="false" outlineLevel="0" collapsed="false">
      <c r="A13" s="67" t="s">
        <v>283</v>
      </c>
      <c r="B13" s="67" t="s">
        <v>216</v>
      </c>
      <c r="C13" s="67" t="s">
        <v>4</v>
      </c>
      <c r="D13" s="67" t="s">
        <v>239</v>
      </c>
      <c r="E13" s="67" t="s">
        <v>284</v>
      </c>
      <c r="F13" s="67" t="s">
        <v>266</v>
      </c>
      <c r="G13" s="67" t="s">
        <v>267</v>
      </c>
      <c r="H13" s="67" t="s">
        <v>285</v>
      </c>
      <c r="I13" s="67" t="s">
        <v>286</v>
      </c>
      <c r="J13" s="67" t="s">
        <v>287</v>
      </c>
      <c r="K13" s="67" t="s">
        <v>288</v>
      </c>
      <c r="L13" s="67" t="s">
        <v>235</v>
      </c>
      <c r="M13" s="67" t="s">
        <v>289</v>
      </c>
      <c r="N13" s="57" t="n">
        <v>2</v>
      </c>
      <c r="O13" s="58" t="n">
        <v>1</v>
      </c>
      <c r="P13" s="58" t="n">
        <v>1</v>
      </c>
      <c r="Q13" s="58" t="n">
        <v>1</v>
      </c>
      <c r="R13" s="58" t="n">
        <v>1</v>
      </c>
      <c r="S13" s="57" t="n">
        <v>0</v>
      </c>
      <c r="T13" s="68" t="n">
        <f aca="false">N13*O13*P13*Q13*R13-S13</f>
        <v>2</v>
      </c>
      <c r="U13" s="57" t="n">
        <v>0</v>
      </c>
      <c r="V13" s="68" t="n">
        <f aca="false">T13*(1+U13/100)</f>
        <v>2</v>
      </c>
      <c r="W13" s="67" t="s">
        <v>126</v>
      </c>
      <c r="X13" s="60" t="n">
        <v>850</v>
      </c>
      <c r="Y13" s="69" t="n">
        <f aca="false">V13*X13</f>
        <v>1700</v>
      </c>
      <c r="Z13" s="67" t="s">
        <v>226</v>
      </c>
      <c r="AA13" s="67" t="s">
        <v>227</v>
      </c>
      <c r="AB13" s="67" t="s">
        <v>228</v>
      </c>
      <c r="AC13" s="70" t="s">
        <v>290</v>
      </c>
    </row>
    <row r="14" customFormat="false" ht="15" hidden="false" customHeight="false" outlineLevel="0" collapsed="false">
      <c r="A14" s="71" t="s">
        <v>291</v>
      </c>
      <c r="B14" s="71" t="s">
        <v>216</v>
      </c>
      <c r="C14" s="71" t="s">
        <v>4</v>
      </c>
      <c r="D14" s="71" t="s">
        <v>253</v>
      </c>
      <c r="E14" s="71" t="s">
        <v>292</v>
      </c>
      <c r="F14" s="71" t="s">
        <v>293</v>
      </c>
      <c r="G14" s="71" t="s">
        <v>294</v>
      </c>
      <c r="H14" s="71" t="s">
        <v>295</v>
      </c>
      <c r="I14" s="71" t="s">
        <v>296</v>
      </c>
      <c r="J14" s="71" t="s">
        <v>297</v>
      </c>
      <c r="K14" s="71" t="s">
        <v>298</v>
      </c>
      <c r="L14" s="71" t="s">
        <v>235</v>
      </c>
      <c r="M14" s="71" t="s">
        <v>299</v>
      </c>
      <c r="N14" s="57" t="n">
        <v>1</v>
      </c>
      <c r="O14" s="58" t="n">
        <v>120</v>
      </c>
      <c r="P14" s="58" t="n">
        <v>1</v>
      </c>
      <c r="Q14" s="58" t="n">
        <v>1</v>
      </c>
      <c r="R14" s="58" t="n">
        <v>1</v>
      </c>
      <c r="S14" s="57" t="n">
        <v>0</v>
      </c>
      <c r="T14" s="72" t="n">
        <f aca="false">N14*O14*P14*Q14*R14-S14</f>
        <v>120</v>
      </c>
      <c r="U14" s="57" t="n">
        <v>5</v>
      </c>
      <c r="V14" s="72" t="n">
        <f aca="false">T14*(1+U14/100)</f>
        <v>126</v>
      </c>
      <c r="W14" s="71" t="s">
        <v>39</v>
      </c>
      <c r="X14" s="60" t="n">
        <v>3.8</v>
      </c>
      <c r="Y14" s="73" t="n">
        <f aca="false">V14*X14</f>
        <v>478.8</v>
      </c>
      <c r="Z14" s="71" t="s">
        <v>226</v>
      </c>
      <c r="AA14" s="71" t="s">
        <v>227</v>
      </c>
      <c r="AB14" s="71" t="s">
        <v>228</v>
      </c>
      <c r="AC14" s="74" t="s">
        <v>300</v>
      </c>
    </row>
    <row r="15" customFormat="false" ht="15" hidden="false" customHeight="false" outlineLevel="0" collapsed="false">
      <c r="A15" s="71" t="s">
        <v>301</v>
      </c>
      <c r="B15" s="71" t="s">
        <v>216</v>
      </c>
      <c r="C15" s="71" t="s">
        <v>4</v>
      </c>
      <c r="D15" s="71" t="s">
        <v>253</v>
      </c>
      <c r="E15" s="71" t="s">
        <v>302</v>
      </c>
      <c r="F15" s="71" t="s">
        <v>293</v>
      </c>
      <c r="G15" s="71" t="s">
        <v>294</v>
      </c>
      <c r="H15" s="71" t="s">
        <v>303</v>
      </c>
      <c r="I15" s="71" t="s">
        <v>304</v>
      </c>
      <c r="J15" s="71" t="s">
        <v>305</v>
      </c>
      <c r="K15" s="71" t="s">
        <v>306</v>
      </c>
      <c r="L15" s="71" t="s">
        <v>235</v>
      </c>
      <c r="M15" s="71" t="s">
        <v>307</v>
      </c>
      <c r="N15" s="57" t="n">
        <v>24</v>
      </c>
      <c r="O15" s="58" t="n">
        <v>1</v>
      </c>
      <c r="P15" s="58" t="n">
        <v>1</v>
      </c>
      <c r="Q15" s="58" t="n">
        <v>1</v>
      </c>
      <c r="R15" s="58" t="n">
        <v>1</v>
      </c>
      <c r="S15" s="57" t="n">
        <v>0</v>
      </c>
      <c r="T15" s="72" t="n">
        <f aca="false">N15*O15*P15*Q15*R15-S15</f>
        <v>24</v>
      </c>
      <c r="U15" s="57" t="n">
        <v>0</v>
      </c>
      <c r="V15" s="72" t="n">
        <f aca="false">T15*(1+U15/100)</f>
        <v>24</v>
      </c>
      <c r="W15" s="71" t="s">
        <v>126</v>
      </c>
      <c r="X15" s="60" t="n">
        <v>185</v>
      </c>
      <c r="Y15" s="73" t="n">
        <f aca="false">V15*X15</f>
        <v>4440</v>
      </c>
      <c r="Z15" s="71" t="s">
        <v>226</v>
      </c>
      <c r="AA15" s="71" t="s">
        <v>227</v>
      </c>
      <c r="AB15" s="71" t="s">
        <v>228</v>
      </c>
      <c r="AC15" s="74" t="s">
        <v>308</v>
      </c>
    </row>
    <row r="16" customFormat="false" ht="15" hidden="false" customHeight="false" outlineLevel="0" collapsed="false">
      <c r="A16" s="71" t="s">
        <v>309</v>
      </c>
      <c r="B16" s="71" t="s">
        <v>216</v>
      </c>
      <c r="C16" s="71" t="s">
        <v>4</v>
      </c>
      <c r="D16" s="71" t="s">
        <v>217</v>
      </c>
      <c r="E16" s="71" t="s">
        <v>310</v>
      </c>
      <c r="F16" s="71" t="s">
        <v>293</v>
      </c>
      <c r="G16" s="71" t="s">
        <v>294</v>
      </c>
      <c r="H16" s="71" t="s">
        <v>311</v>
      </c>
      <c r="I16" s="71" t="s">
        <v>312</v>
      </c>
      <c r="J16" s="71" t="s">
        <v>313</v>
      </c>
      <c r="K16" s="71" t="s">
        <v>223</v>
      </c>
      <c r="L16" s="71" t="s">
        <v>223</v>
      </c>
      <c r="M16" s="71" t="s">
        <v>314</v>
      </c>
      <c r="N16" s="57" t="n">
        <v>1</v>
      </c>
      <c r="O16" s="58" t="n">
        <v>1</v>
      </c>
      <c r="P16" s="58" t="n">
        <v>1</v>
      </c>
      <c r="Q16" s="58" t="n">
        <v>1</v>
      </c>
      <c r="R16" s="58" t="n">
        <v>1</v>
      </c>
      <c r="S16" s="57" t="n">
        <v>0</v>
      </c>
      <c r="T16" s="72" t="n">
        <f aca="false">N16*O16*P16*Q16*R16-S16</f>
        <v>1</v>
      </c>
      <c r="U16" s="57" t="n">
        <v>0</v>
      </c>
      <c r="V16" s="72" t="n">
        <f aca="false">T16*(1+U16/100)</f>
        <v>1</v>
      </c>
      <c r="W16" s="71" t="s">
        <v>315</v>
      </c>
      <c r="X16" s="60" t="n">
        <v>120000</v>
      </c>
      <c r="Y16" s="73" t="n">
        <f aca="false">V16*X16</f>
        <v>120000</v>
      </c>
      <c r="Z16" s="71" t="s">
        <v>226</v>
      </c>
      <c r="AA16" s="71" t="s">
        <v>227</v>
      </c>
      <c r="AB16" s="71" t="s">
        <v>228</v>
      </c>
      <c r="AC16" s="74" t="s">
        <v>316</v>
      </c>
    </row>
    <row r="18" customFormat="false" ht="15" hidden="false" customHeight="false" outlineLevel="0" collapsed="false">
      <c r="B18" s="75" t="s">
        <v>317</v>
      </c>
    </row>
    <row r="19" customFormat="false" ht="15" hidden="false" customHeight="false" outlineLevel="0" collapsed="false">
      <c r="B19" s="54" t="s">
        <v>318</v>
      </c>
    </row>
    <row r="20" customFormat="false" ht="15" hidden="false" customHeight="false" outlineLevel="0" collapsed="false">
      <c r="B20" s="54" t="s">
        <v>319</v>
      </c>
    </row>
    <row r="21" customFormat="false" ht="15" hidden="false" customHeight="false" outlineLevel="0" collapsed="false">
      <c r="B21" s="54" t="s">
        <v>320</v>
      </c>
    </row>
    <row r="22" customFormat="false" ht="15" hidden="false" customHeight="false" outlineLevel="0" collapsed="false">
      <c r="B22" s="54" t="s">
        <v>321</v>
      </c>
    </row>
    <row r="23" customFormat="false" ht="15" hidden="false" customHeight="false" outlineLevel="0" collapsed="false">
      <c r="B23" s="54" t="s">
        <v>322</v>
      </c>
    </row>
    <row r="24" customFormat="false" ht="15" hidden="false" customHeight="false" outlineLevel="0" collapsed="false">
      <c r="B24" s="54" t="s">
        <v>323</v>
      </c>
    </row>
    <row r="25" customFormat="false" ht="15" hidden="false" customHeight="false" outlineLevel="0" collapsed="false">
      <c r="B25" s="54" t="s">
        <v>324</v>
      </c>
    </row>
    <row r="26" customFormat="false" ht="15" hidden="false" customHeight="false" outlineLevel="0" collapsed="false">
      <c r="B26" s="54" t="s">
        <v>325</v>
      </c>
    </row>
    <row r="27" customFormat="false" ht="15" hidden="false" customHeight="false" outlineLevel="0" collapsed="false">
      <c r="B27" s="54" t="s">
        <v>326</v>
      </c>
    </row>
    <row r="28" customFormat="false" ht="15" hidden="false" customHeight="false" outlineLevel="0" collapsed="false">
      <c r="B28" s="54" t="s">
        <v>327</v>
      </c>
    </row>
  </sheetData>
  <dataValidations count="3">
    <dataValidation allowBlank="true" errorStyle="stop" operator="between" showDropDown="false" showErrorMessage="false" showInputMessage="false" sqref="F5:F500" type="list">
      <formula1>"PRE,STR,ARC,MEP,EXT"</formula1>
      <formula2>0</formula2>
    </dataValidation>
    <dataValidation allowBlank="true" errorStyle="stop" operator="between" showDropDown="false" showErrorMessage="false" showInputMessage="false" sqref="Z5:Z500" type="list">
      <formula1>"Draft,Checked,Final"</formula1>
      <formula2>0</formula2>
    </dataValidation>
    <dataValidation allowBlank="true" errorStyle="stop" operator="between" showDropDown="false" showErrorMessage="false" showInputMessage="false" sqref="W5:W500" type="list">
      <formula1>"m,m2,m3,kg,ton,nos,lot,Month,Sum,ls"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7"/>
    <col collapsed="false" customWidth="true" hidden="false" outlineLevel="0" max="2" min="2" style="10" width="38"/>
    <col collapsed="false" customWidth="true" hidden="false" outlineLevel="0" max="5" min="3" style="10" width="12"/>
  </cols>
  <sheetData>
    <row r="1" customFormat="false" ht="17.25" hidden="false" customHeight="true" outlineLevel="0" collapsed="false">
      <c r="A1" s="76" t="s">
        <v>328</v>
      </c>
    </row>
    <row r="2" customFormat="false" ht="15" hidden="false" customHeight="true" outlineLevel="0" collapsed="false">
      <c r="A2" s="77" t="s">
        <v>329</v>
      </c>
    </row>
    <row r="4" customFormat="false" ht="15" hidden="false" customHeight="true" outlineLevel="0" collapsed="false">
      <c r="A4" s="78" t="s">
        <v>330</v>
      </c>
      <c r="B4" s="78" t="s">
        <v>331</v>
      </c>
      <c r="C4" s="78" t="s">
        <v>332</v>
      </c>
      <c r="D4" s="78" t="s">
        <v>34</v>
      </c>
      <c r="E4" s="78" t="s">
        <v>211</v>
      </c>
    </row>
    <row r="5" customFormat="false" ht="15" hidden="false" customHeight="true" outlineLevel="0" collapsed="false">
      <c r="A5" s="79" t="s">
        <v>333</v>
      </c>
      <c r="B5" s="79" t="s">
        <v>334</v>
      </c>
      <c r="C5" s="80" t="n">
        <v>130</v>
      </c>
      <c r="D5" s="79" t="s">
        <v>39</v>
      </c>
      <c r="E5" s="81" t="s">
        <v>335</v>
      </c>
    </row>
    <row r="6" customFormat="false" ht="15" hidden="false" customHeight="true" outlineLevel="0" collapsed="false">
      <c r="A6" s="79" t="s">
        <v>336</v>
      </c>
      <c r="B6" s="79" t="s">
        <v>337</v>
      </c>
      <c r="C6" s="80" t="n">
        <v>800</v>
      </c>
      <c r="D6" s="79" t="s">
        <v>45</v>
      </c>
      <c r="E6" s="82" t="s">
        <v>338</v>
      </c>
    </row>
    <row r="7" customFormat="false" ht="15" hidden="false" customHeight="true" outlineLevel="0" collapsed="false">
      <c r="A7" s="79" t="s">
        <v>339</v>
      </c>
      <c r="B7" s="79" t="s">
        <v>340</v>
      </c>
      <c r="C7" s="80" t="n">
        <v>115</v>
      </c>
      <c r="D7" s="79" t="s">
        <v>39</v>
      </c>
      <c r="E7" s="81" t="s">
        <v>335</v>
      </c>
    </row>
    <row r="8" customFormat="false" ht="15" hidden="false" customHeight="true" outlineLevel="0" collapsed="false">
      <c r="A8" s="79" t="s">
        <v>341</v>
      </c>
      <c r="B8" s="79" t="s">
        <v>342</v>
      </c>
      <c r="C8" s="80" t="n">
        <v>10</v>
      </c>
      <c r="D8" s="79" t="s">
        <v>343</v>
      </c>
      <c r="E8" s="82" t="s">
        <v>338</v>
      </c>
    </row>
    <row r="9" customFormat="false" ht="15" hidden="false" customHeight="true" outlineLevel="0" collapsed="false">
      <c r="A9" s="79" t="s">
        <v>344</v>
      </c>
      <c r="B9" s="79" t="s">
        <v>345</v>
      </c>
      <c r="C9" s="80" t="n">
        <v>36</v>
      </c>
      <c r="D9" s="79" t="s">
        <v>39</v>
      </c>
      <c r="E9" s="81" t="s">
        <v>335</v>
      </c>
    </row>
    <row r="10" customFormat="false" ht="15" hidden="false" customHeight="true" outlineLevel="0" collapsed="false">
      <c r="A10" s="79" t="s">
        <v>346</v>
      </c>
      <c r="B10" s="79" t="s">
        <v>347</v>
      </c>
      <c r="C10" s="83" t="n">
        <f aca="false">C7*C9</f>
        <v>4140</v>
      </c>
      <c r="D10" s="79" t="s">
        <v>45</v>
      </c>
      <c r="E10" s="82" t="s">
        <v>348</v>
      </c>
    </row>
    <row r="11" customFormat="false" ht="15" hidden="false" customHeight="true" outlineLevel="0" collapsed="false">
      <c r="A11" s="79" t="s">
        <v>349</v>
      </c>
      <c r="B11" s="79" t="s">
        <v>350</v>
      </c>
      <c r="C11" s="80" t="n">
        <v>18</v>
      </c>
      <c r="D11" s="79" t="s">
        <v>351</v>
      </c>
      <c r="E11" s="82" t="s">
        <v>352</v>
      </c>
    </row>
    <row r="12" customFormat="false" ht="15" hidden="false" customHeight="true" outlineLevel="0" collapsed="false">
      <c r="A12" s="79" t="s">
        <v>353</v>
      </c>
      <c r="B12" s="79" t="s">
        <v>354</v>
      </c>
      <c r="C12" s="80" t="n">
        <v>10</v>
      </c>
      <c r="D12" s="79" t="s">
        <v>351</v>
      </c>
      <c r="E12" s="82" t="s">
        <v>352</v>
      </c>
    </row>
    <row r="13" customFormat="false" ht="15" hidden="false" customHeight="true" outlineLevel="0" collapsed="false">
      <c r="A13" s="79" t="s">
        <v>355</v>
      </c>
      <c r="B13" s="79" t="s">
        <v>356</v>
      </c>
      <c r="C13" s="80" t="n">
        <v>12</v>
      </c>
      <c r="D13" s="79" t="s">
        <v>351</v>
      </c>
      <c r="E13" s="82" t="s">
        <v>352</v>
      </c>
    </row>
    <row r="14" customFormat="false" ht="15" hidden="false" customHeight="true" outlineLevel="0" collapsed="false">
      <c r="A14" s="79" t="s">
        <v>357</v>
      </c>
      <c r="B14" s="79" t="s">
        <v>358</v>
      </c>
      <c r="C14" s="80" t="n">
        <v>80</v>
      </c>
      <c r="D14" s="79" t="s">
        <v>343</v>
      </c>
      <c r="E14" s="82" t="s">
        <v>352</v>
      </c>
    </row>
    <row r="15" customFormat="false" ht="15" hidden="false" customHeight="true" outlineLevel="0" collapsed="false">
      <c r="A15" s="79" t="s">
        <v>359</v>
      </c>
      <c r="B15" s="79" t="s">
        <v>360</v>
      </c>
      <c r="C15" s="80" t="n">
        <v>11</v>
      </c>
      <c r="D15" s="79" t="s">
        <v>343</v>
      </c>
      <c r="E15" s="82" t="s">
        <v>338</v>
      </c>
    </row>
    <row r="16" customFormat="false" ht="15" hidden="false" customHeight="true" outlineLevel="0" collapsed="false">
      <c r="A16" s="79" t="s">
        <v>361</v>
      </c>
      <c r="B16" s="79" t="s">
        <v>362</v>
      </c>
      <c r="C16" s="83" t="n">
        <f aca="false">C6*C8</f>
        <v>8000</v>
      </c>
      <c r="D16" s="79" t="s">
        <v>45</v>
      </c>
      <c r="E16" s="82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12"/>
    <col collapsed="false" customWidth="true" hidden="false" outlineLevel="0" max="2" min="2" style="10" width="58"/>
    <col collapsed="false" customWidth="true" hidden="false" outlineLevel="0" max="3" min="3" style="10" width="7"/>
    <col collapsed="false" customWidth="true" hidden="false" outlineLevel="0" max="4" min="4" style="10" width="9"/>
    <col collapsed="false" customWidth="true" hidden="false" outlineLevel="0" max="5" min="5" style="10" width="11"/>
    <col collapsed="false" customWidth="true" hidden="false" outlineLevel="0" max="6" min="6" style="10" width="13"/>
    <col collapsed="false" customWidth="true" hidden="false" outlineLevel="0" max="7" min="7" style="10" width="56"/>
  </cols>
  <sheetData>
    <row r="1" customFormat="false" ht="17.25" hidden="false" customHeight="true" outlineLevel="0" collapsed="false">
      <c r="A1" s="76" t="s">
        <v>363</v>
      </c>
    </row>
    <row r="2" customFormat="false" ht="15" hidden="false" customHeight="true" outlineLevel="0" collapsed="false">
      <c r="A2" s="77" t="s">
        <v>364</v>
      </c>
    </row>
    <row r="4" customFormat="false" ht="15" hidden="false" customHeight="true" outlineLevel="0" collapsed="false">
      <c r="A4" s="78" t="s">
        <v>365</v>
      </c>
      <c r="B4" s="78" t="s">
        <v>366</v>
      </c>
      <c r="C4" s="78" t="s">
        <v>34</v>
      </c>
      <c r="D4" s="78" t="s">
        <v>367</v>
      </c>
      <c r="E4" s="78" t="s">
        <v>209</v>
      </c>
      <c r="F4" s="78" t="s">
        <v>210</v>
      </c>
      <c r="G4" s="78" t="s">
        <v>214</v>
      </c>
    </row>
    <row r="5" customFormat="false" ht="15" hidden="false" customHeight="true" outlineLevel="0" collapsed="false">
      <c r="A5" s="84" t="s">
        <v>368</v>
      </c>
      <c r="B5" s="84" t="s">
        <v>369</v>
      </c>
      <c r="C5" s="85"/>
      <c r="D5" s="85"/>
      <c r="E5" s="85"/>
      <c r="F5" s="85"/>
      <c r="G5" s="85"/>
    </row>
    <row r="6" customFormat="false" ht="15" hidden="false" customHeight="true" outlineLevel="0" collapsed="false">
      <c r="A6" s="86" t="s">
        <v>370</v>
      </c>
      <c r="B6" s="86" t="s">
        <v>371</v>
      </c>
      <c r="C6" s="87"/>
      <c r="D6" s="87"/>
      <c r="E6" s="87"/>
      <c r="F6" s="87"/>
      <c r="G6" s="87"/>
    </row>
    <row r="7" customFormat="false" ht="15" hidden="false" customHeight="true" outlineLevel="0" collapsed="false">
      <c r="A7" s="79" t="s">
        <v>372</v>
      </c>
      <c r="B7" s="79" t="s">
        <v>133</v>
      </c>
      <c r="C7" s="79" t="s">
        <v>373</v>
      </c>
      <c r="D7" s="80" t="n">
        <v>1</v>
      </c>
      <c r="E7" s="88" t="n">
        <f aca="false">'BU Z.01.01'!E12</f>
        <v>10500</v>
      </c>
      <c r="F7" s="89" t="n">
        <f aca="false">D7*E7</f>
        <v>10500</v>
      </c>
      <c r="G7" s="82" t="s">
        <v>374</v>
      </c>
    </row>
    <row r="8" customFormat="false" ht="15" hidden="false" customHeight="true" outlineLevel="0" collapsed="false">
      <c r="A8" s="79" t="s">
        <v>375</v>
      </c>
      <c r="B8" s="79" t="s">
        <v>376</v>
      </c>
      <c r="C8" s="79" t="s">
        <v>373</v>
      </c>
      <c r="D8" s="80" t="n">
        <v>1</v>
      </c>
      <c r="E8" s="88" t="n">
        <f aca="false">'BU Z.01.01'!E19</f>
        <v>6460</v>
      </c>
      <c r="F8" s="89" t="n">
        <f aca="false">D8*E8</f>
        <v>6460</v>
      </c>
      <c r="G8" s="82" t="s">
        <v>377</v>
      </c>
    </row>
    <row r="9" customFormat="false" ht="15" hidden="false" customHeight="true" outlineLevel="0" collapsed="false">
      <c r="A9" s="79" t="s">
        <v>378</v>
      </c>
      <c r="B9" s="79" t="s">
        <v>379</v>
      </c>
      <c r="C9" s="79" t="s">
        <v>373</v>
      </c>
      <c r="D9" s="80" t="n">
        <v>1</v>
      </c>
      <c r="E9" s="88" t="n">
        <f aca="false">'BU Z.01.01'!E25</f>
        <v>7400</v>
      </c>
      <c r="F9" s="89" t="n">
        <f aca="false">D9*E9</f>
        <v>7400</v>
      </c>
      <c r="G9" s="82" t="s">
        <v>380</v>
      </c>
    </row>
    <row r="10" customFormat="false" ht="15" hidden="false" customHeight="true" outlineLevel="0" collapsed="false">
      <c r="A10" s="79" t="s">
        <v>381</v>
      </c>
      <c r="B10" s="79" t="s">
        <v>382</v>
      </c>
      <c r="C10" s="79" t="s">
        <v>225</v>
      </c>
      <c r="D10" s="80" t="n">
        <v>18</v>
      </c>
      <c r="E10" s="88" t="n">
        <f aca="false">'BU Z.01.01'!E32</f>
        <v>400</v>
      </c>
      <c r="F10" s="89" t="n">
        <f aca="false">D10*E10</f>
        <v>7200</v>
      </c>
      <c r="G10" s="82" t="s">
        <v>383</v>
      </c>
    </row>
    <row r="11" customFormat="false" ht="15" hidden="false" customHeight="true" outlineLevel="0" collapsed="false">
      <c r="A11" s="79" t="s">
        <v>384</v>
      </c>
      <c r="B11" s="79" t="s">
        <v>385</v>
      </c>
      <c r="C11" s="79" t="s">
        <v>373</v>
      </c>
      <c r="D11" s="80" t="n">
        <v>1</v>
      </c>
      <c r="E11" s="88" t="n">
        <f aca="false">'BU Z.01.01'!E38</f>
        <v>800</v>
      </c>
      <c r="F11" s="89" t="n">
        <f aca="false">D11*E11</f>
        <v>800</v>
      </c>
      <c r="G11" s="82" t="s">
        <v>386</v>
      </c>
    </row>
    <row r="12" customFormat="false" ht="15" hidden="false" customHeight="true" outlineLevel="0" collapsed="false">
      <c r="A12" s="79" t="s">
        <v>387</v>
      </c>
      <c r="B12" s="79" t="s">
        <v>388</v>
      </c>
      <c r="C12" s="79" t="s">
        <v>373</v>
      </c>
      <c r="D12" s="80" t="n">
        <v>1</v>
      </c>
      <c r="E12" s="88" t="n">
        <f aca="false">'BU Z.01.01'!E45</f>
        <v>3000</v>
      </c>
      <c r="F12" s="89" t="n">
        <f aca="false">D12*E12</f>
        <v>3000</v>
      </c>
      <c r="G12" s="82" t="s">
        <v>389</v>
      </c>
    </row>
    <row r="13" customFormat="false" ht="15" hidden="false" customHeight="true" outlineLevel="0" collapsed="false">
      <c r="A13" s="86" t="s">
        <v>390</v>
      </c>
      <c r="B13" s="86" t="s">
        <v>391</v>
      </c>
      <c r="C13" s="87"/>
      <c r="D13" s="87"/>
      <c r="E13" s="87"/>
      <c r="F13" s="87"/>
      <c r="G13" s="87"/>
    </row>
    <row r="14" customFormat="false" ht="15" hidden="false" customHeight="true" outlineLevel="0" collapsed="false">
      <c r="A14" s="79" t="s">
        <v>392</v>
      </c>
      <c r="B14" s="79" t="s">
        <v>393</v>
      </c>
      <c r="C14" s="79" t="s">
        <v>373</v>
      </c>
      <c r="D14" s="80" t="n">
        <v>1</v>
      </c>
      <c r="E14" s="88" t="n">
        <f aca="false">'BU Z.01.02'!E8</f>
        <v>7950</v>
      </c>
      <c r="F14" s="89" t="n">
        <f aca="false">D14*E14</f>
        <v>7950</v>
      </c>
      <c r="G14" s="82" t="s">
        <v>394</v>
      </c>
    </row>
    <row r="15" customFormat="false" ht="15" hidden="false" customHeight="true" outlineLevel="0" collapsed="false">
      <c r="A15" s="79" t="s">
        <v>395</v>
      </c>
      <c r="B15" s="79" t="s">
        <v>396</v>
      </c>
      <c r="C15" s="79" t="s">
        <v>39</v>
      </c>
      <c r="D15" s="80" t="n">
        <v>95</v>
      </c>
      <c r="E15" s="88" t="n">
        <f aca="false">'BU Z.01.02'!E14</f>
        <v>180</v>
      </c>
      <c r="F15" s="89" t="n">
        <f aca="false">D15*E15</f>
        <v>17100</v>
      </c>
      <c r="G15" s="82" t="s">
        <v>397</v>
      </c>
    </row>
    <row r="16" customFormat="false" ht="15" hidden="false" customHeight="true" outlineLevel="0" collapsed="false">
      <c r="A16" s="79" t="s">
        <v>398</v>
      </c>
      <c r="B16" s="79" t="s">
        <v>399</v>
      </c>
      <c r="C16" s="79" t="s">
        <v>373</v>
      </c>
      <c r="D16" s="80" t="n">
        <v>1</v>
      </c>
      <c r="E16" s="88" t="n">
        <f aca="false">'BU Z.01.02'!E20</f>
        <v>6000</v>
      </c>
      <c r="F16" s="89" t="n">
        <f aca="false">D16*E16</f>
        <v>6000</v>
      </c>
      <c r="G16" s="82" t="s">
        <v>400</v>
      </c>
    </row>
    <row r="17" customFormat="false" ht="15" hidden="false" customHeight="true" outlineLevel="0" collapsed="false">
      <c r="A17" s="79" t="s">
        <v>401</v>
      </c>
      <c r="B17" s="79" t="s">
        <v>402</v>
      </c>
      <c r="C17" s="79" t="s">
        <v>73</v>
      </c>
      <c r="D17" s="90" t="n">
        <f aca="false">'Site Data'!C15</f>
        <v>11</v>
      </c>
      <c r="E17" s="88" t="n">
        <f aca="false">'BU Z.01.02'!E26</f>
        <v>700</v>
      </c>
      <c r="F17" s="89" t="n">
        <f aca="false">D17*E17</f>
        <v>7700</v>
      </c>
      <c r="G17" s="82" t="s">
        <v>403</v>
      </c>
    </row>
    <row r="18" customFormat="false" ht="15" hidden="false" customHeight="true" outlineLevel="0" collapsed="false">
      <c r="A18" s="79" t="s">
        <v>404</v>
      </c>
      <c r="B18" s="79" t="s">
        <v>405</v>
      </c>
      <c r="C18" s="79" t="s">
        <v>373</v>
      </c>
      <c r="D18" s="80" t="n">
        <v>1</v>
      </c>
      <c r="E18" s="88" t="n">
        <f aca="false">'BU Z.01.02'!E32</f>
        <v>4000</v>
      </c>
      <c r="F18" s="89" t="n">
        <f aca="false">D18*E18</f>
        <v>4000</v>
      </c>
      <c r="G18" s="82" t="s">
        <v>406</v>
      </c>
    </row>
    <row r="19" customFormat="false" ht="15" hidden="false" customHeight="true" outlineLevel="0" collapsed="false">
      <c r="A19" s="79" t="s">
        <v>407</v>
      </c>
      <c r="B19" s="79" t="s">
        <v>408</v>
      </c>
      <c r="C19" s="79" t="s">
        <v>225</v>
      </c>
      <c r="D19" s="80" t="n">
        <v>18</v>
      </c>
      <c r="E19" s="88" t="n">
        <f aca="false">'BU Z.01.02'!E39</f>
        <v>250</v>
      </c>
      <c r="F19" s="89" t="n">
        <f aca="false">D19*E19</f>
        <v>4500</v>
      </c>
      <c r="G19" s="82" t="s">
        <v>409</v>
      </c>
    </row>
    <row r="20" customFormat="false" ht="15" hidden="false" customHeight="true" outlineLevel="0" collapsed="false">
      <c r="A20" s="79" t="s">
        <v>410</v>
      </c>
      <c r="B20" s="79" t="s">
        <v>411</v>
      </c>
      <c r="C20" s="79" t="s">
        <v>225</v>
      </c>
      <c r="D20" s="80" t="n">
        <v>4</v>
      </c>
      <c r="E20" s="88" t="n">
        <f aca="false">'BU Z.01.02'!E46</f>
        <v>900</v>
      </c>
      <c r="F20" s="89" t="n">
        <f aca="false">D20*E20</f>
        <v>3600</v>
      </c>
      <c r="G20" s="82" t="s">
        <v>412</v>
      </c>
    </row>
    <row r="21" customFormat="false" ht="15" hidden="false" customHeight="true" outlineLevel="0" collapsed="false">
      <c r="A21" s="86" t="s">
        <v>413</v>
      </c>
      <c r="B21" s="86" t="s">
        <v>414</v>
      </c>
      <c r="C21" s="87"/>
      <c r="D21" s="87"/>
      <c r="E21" s="87"/>
      <c r="F21" s="87"/>
      <c r="G21" s="87"/>
    </row>
    <row r="22" customFormat="false" ht="15" hidden="false" customHeight="true" outlineLevel="0" collapsed="false">
      <c r="A22" s="79" t="s">
        <v>218</v>
      </c>
      <c r="B22" s="79" t="s">
        <v>222</v>
      </c>
      <c r="C22" s="79" t="s">
        <v>225</v>
      </c>
      <c r="D22" s="80" t="n">
        <v>18</v>
      </c>
      <c r="E22" s="88" t="n">
        <f aca="false">'BU Z.01.03'!E10</f>
        <v>1200</v>
      </c>
      <c r="F22" s="89" t="n">
        <f aca="false">D22*E22</f>
        <v>21600</v>
      </c>
      <c r="G22" s="82" t="s">
        <v>415</v>
      </c>
    </row>
    <row r="23" customFormat="false" ht="15" hidden="false" customHeight="true" outlineLevel="0" collapsed="false">
      <c r="A23" s="79" t="s">
        <v>416</v>
      </c>
      <c r="B23" s="79" t="s">
        <v>417</v>
      </c>
      <c r="C23" s="79" t="s">
        <v>225</v>
      </c>
      <c r="D23" s="80" t="n">
        <v>18</v>
      </c>
      <c r="E23" s="88" t="n">
        <f aca="false">'BU Z.01.03'!E16</f>
        <v>200</v>
      </c>
      <c r="F23" s="89" t="n">
        <f aca="false">D23*E23</f>
        <v>3600</v>
      </c>
      <c r="G23" s="82" t="s">
        <v>418</v>
      </c>
    </row>
    <row r="24" customFormat="false" ht="15" hidden="false" customHeight="true" outlineLevel="0" collapsed="false">
      <c r="A24" s="79" t="s">
        <v>419</v>
      </c>
      <c r="B24" s="79" t="s">
        <v>420</v>
      </c>
      <c r="C24" s="79" t="s">
        <v>373</v>
      </c>
      <c r="D24" s="80" t="n">
        <v>1</v>
      </c>
      <c r="E24" s="88" t="n">
        <f aca="false">'BU Z.01.03'!E22</f>
        <v>1500</v>
      </c>
      <c r="F24" s="89" t="n">
        <f aca="false">D24*E24</f>
        <v>1500</v>
      </c>
      <c r="G24" s="82" t="s">
        <v>421</v>
      </c>
    </row>
    <row r="25" customFormat="false" ht="15" hidden="false" customHeight="true" outlineLevel="0" collapsed="false">
      <c r="A25" s="79" t="s">
        <v>422</v>
      </c>
      <c r="B25" s="79" t="s">
        <v>423</v>
      </c>
      <c r="C25" s="79" t="s">
        <v>373</v>
      </c>
      <c r="D25" s="80" t="n">
        <v>1</v>
      </c>
      <c r="E25" s="88" t="n">
        <f aca="false">'BU Z.01.03'!E30</f>
        <v>10100</v>
      </c>
      <c r="F25" s="89" t="n">
        <f aca="false">D25*E25</f>
        <v>10100</v>
      </c>
      <c r="G25" s="82" t="s">
        <v>424</v>
      </c>
    </row>
    <row r="26" customFormat="false" ht="15" hidden="false" customHeight="true" outlineLevel="0" collapsed="false">
      <c r="A26" s="86" t="s">
        <v>425</v>
      </c>
      <c r="B26" s="86" t="s">
        <v>426</v>
      </c>
      <c r="C26" s="87"/>
      <c r="D26" s="87"/>
      <c r="E26" s="87"/>
      <c r="F26" s="87"/>
      <c r="G26" s="87"/>
    </row>
    <row r="27" customFormat="false" ht="15" hidden="false" customHeight="true" outlineLevel="0" collapsed="false">
      <c r="A27" s="79" t="s">
        <v>427</v>
      </c>
      <c r="B27" s="79" t="s">
        <v>428</v>
      </c>
      <c r="C27" s="79" t="s">
        <v>225</v>
      </c>
      <c r="D27" s="80" t="n">
        <v>18</v>
      </c>
      <c r="E27" s="88" t="n">
        <f aca="false">'BU Z.01.04'!E9</f>
        <v>602</v>
      </c>
      <c r="F27" s="89" t="n">
        <f aca="false">D27*E27</f>
        <v>10836</v>
      </c>
      <c r="G27" s="82" t="s">
        <v>429</v>
      </c>
    </row>
    <row r="28" customFormat="false" ht="15" hidden="false" customHeight="true" outlineLevel="0" collapsed="false">
      <c r="A28" s="79" t="s">
        <v>430</v>
      </c>
      <c r="B28" s="79" t="s">
        <v>431</v>
      </c>
      <c r="C28" s="79" t="s">
        <v>373</v>
      </c>
      <c r="D28" s="80" t="n">
        <v>1</v>
      </c>
      <c r="E28" s="88" t="n">
        <f aca="false">'BU Z.01.04'!E15</f>
        <v>3500</v>
      </c>
      <c r="F28" s="89" t="n">
        <f aca="false">D28*E28</f>
        <v>3500</v>
      </c>
      <c r="G28" s="82" t="s">
        <v>432</v>
      </c>
    </row>
    <row r="29" customFormat="false" ht="15" hidden="false" customHeight="true" outlineLevel="0" collapsed="false">
      <c r="A29" s="86" t="s">
        <v>433</v>
      </c>
      <c r="B29" s="86" t="s">
        <v>434</v>
      </c>
      <c r="C29" s="87"/>
      <c r="D29" s="87"/>
      <c r="E29" s="87"/>
      <c r="F29" s="87"/>
      <c r="G29" s="87"/>
    </row>
    <row r="30" customFormat="false" ht="15" hidden="false" customHeight="true" outlineLevel="0" collapsed="false">
      <c r="A30" s="79" t="s">
        <v>435</v>
      </c>
      <c r="B30" s="79" t="s">
        <v>436</v>
      </c>
      <c r="C30" s="79" t="s">
        <v>225</v>
      </c>
      <c r="D30" s="80" t="n">
        <v>16</v>
      </c>
      <c r="E30" s="88" t="n">
        <f aca="false">'BU Z.01.05'!E9</f>
        <v>3500</v>
      </c>
      <c r="F30" s="89" t="n">
        <f aca="false">D30*E30</f>
        <v>56000</v>
      </c>
      <c r="G30" s="82" t="s">
        <v>437</v>
      </c>
    </row>
    <row r="31" customFormat="false" ht="15" hidden="false" customHeight="true" outlineLevel="0" collapsed="false">
      <c r="A31" s="79" t="s">
        <v>438</v>
      </c>
      <c r="B31" s="79" t="s">
        <v>439</v>
      </c>
      <c r="C31" s="79" t="s">
        <v>373</v>
      </c>
      <c r="D31" s="80" t="n">
        <v>1</v>
      </c>
      <c r="E31" s="88" t="n">
        <f aca="false">'BU Z.01.05'!E17</f>
        <v>18000</v>
      </c>
      <c r="F31" s="89" t="n">
        <f aca="false">D31*E31</f>
        <v>18000</v>
      </c>
      <c r="G31" s="82" t="s">
        <v>440</v>
      </c>
    </row>
    <row r="32" customFormat="false" ht="15" hidden="false" customHeight="true" outlineLevel="0" collapsed="false">
      <c r="A32" s="79" t="s">
        <v>441</v>
      </c>
      <c r="B32" s="79" t="s">
        <v>442</v>
      </c>
      <c r="C32" s="79" t="s">
        <v>225</v>
      </c>
      <c r="D32" s="80" t="n">
        <v>12</v>
      </c>
      <c r="E32" s="88" t="n">
        <f aca="false">'BU Z.01.05'!E23</f>
        <v>1500</v>
      </c>
      <c r="F32" s="89" t="n">
        <f aca="false">D32*E32</f>
        <v>18000</v>
      </c>
      <c r="G32" s="82" t="s">
        <v>443</v>
      </c>
    </row>
    <row r="33" customFormat="false" ht="15" hidden="false" customHeight="true" outlineLevel="0" collapsed="false">
      <c r="A33" s="79" t="s">
        <v>444</v>
      </c>
      <c r="B33" s="79" t="s">
        <v>445</v>
      </c>
      <c r="C33" s="79" t="s">
        <v>373</v>
      </c>
      <c r="D33" s="80" t="n">
        <v>1</v>
      </c>
      <c r="E33" s="88" t="n">
        <f aca="false">'BU Z.01.05'!E30</f>
        <v>4000</v>
      </c>
      <c r="F33" s="89" t="n">
        <f aca="false">D33*E33</f>
        <v>4000</v>
      </c>
      <c r="G33" s="82" t="s">
        <v>446</v>
      </c>
    </row>
    <row r="34" customFormat="false" ht="15" hidden="false" customHeight="true" outlineLevel="0" collapsed="false">
      <c r="A34" s="79" t="s">
        <v>447</v>
      </c>
      <c r="B34" s="79" t="s">
        <v>448</v>
      </c>
      <c r="C34" s="79" t="s">
        <v>373</v>
      </c>
      <c r="F34" s="89" t="n">
        <v>0</v>
      </c>
      <c r="G34" s="82" t="s">
        <v>449</v>
      </c>
    </row>
    <row r="35" customFormat="false" ht="15" hidden="false" customHeight="true" outlineLevel="0" collapsed="false">
      <c r="A35" s="79" t="s">
        <v>231</v>
      </c>
      <c r="B35" s="79" t="s">
        <v>233</v>
      </c>
      <c r="C35" s="79" t="s">
        <v>45</v>
      </c>
      <c r="D35" s="90" t="n">
        <f aca="false">'Site Data'!C10</f>
        <v>4140</v>
      </c>
      <c r="E35" s="88" t="n">
        <f aca="false">'BU Z.01.05'!E36</f>
        <v>7.2</v>
      </c>
      <c r="F35" s="89" t="n">
        <f aca="false">D35*E35</f>
        <v>29808</v>
      </c>
      <c r="G35" s="82" t="s">
        <v>450</v>
      </c>
    </row>
    <row r="36" customFormat="false" ht="15" hidden="false" customHeight="true" outlineLevel="0" collapsed="false">
      <c r="A36" s="79" t="s">
        <v>451</v>
      </c>
      <c r="B36" s="79" t="s">
        <v>452</v>
      </c>
      <c r="C36" s="79" t="s">
        <v>73</v>
      </c>
      <c r="D36" s="80" t="n">
        <v>10</v>
      </c>
      <c r="E36" s="88" t="n">
        <f aca="false">'BU Z.01.05'!E42</f>
        <v>1200</v>
      </c>
      <c r="F36" s="89" t="n">
        <f aca="false">D36*E36</f>
        <v>12000</v>
      </c>
      <c r="G36" s="82" t="s">
        <v>453</v>
      </c>
    </row>
    <row r="37" customFormat="false" ht="15" hidden="false" customHeight="true" outlineLevel="0" collapsed="false">
      <c r="A37" s="86" t="s">
        <v>454</v>
      </c>
      <c r="B37" s="86" t="s">
        <v>455</v>
      </c>
      <c r="C37" s="87"/>
      <c r="D37" s="87"/>
      <c r="E37" s="87"/>
      <c r="F37" s="87"/>
      <c r="G37" s="87"/>
    </row>
    <row r="38" customFormat="false" ht="15" hidden="false" customHeight="true" outlineLevel="0" collapsed="false">
      <c r="A38" s="79" t="s">
        <v>456</v>
      </c>
      <c r="B38" s="79" t="s">
        <v>457</v>
      </c>
      <c r="C38" s="79" t="s">
        <v>225</v>
      </c>
      <c r="D38" s="80" t="n">
        <v>18</v>
      </c>
      <c r="E38" s="88" t="n">
        <f aca="false">'BU Z.01.06'!E10</f>
        <v>350</v>
      </c>
      <c r="F38" s="89" t="n">
        <f aca="false">D38*E38</f>
        <v>6300</v>
      </c>
      <c r="G38" s="82" t="s">
        <v>458</v>
      </c>
    </row>
    <row r="39" customFormat="false" ht="15" hidden="false" customHeight="true" outlineLevel="0" collapsed="false">
      <c r="A39" s="86" t="s">
        <v>459</v>
      </c>
      <c r="B39" s="86" t="s">
        <v>460</v>
      </c>
      <c r="C39" s="87"/>
      <c r="D39" s="87"/>
      <c r="E39" s="87"/>
      <c r="F39" s="87"/>
      <c r="G39" s="87"/>
    </row>
    <row r="40" customFormat="false" ht="15" hidden="false" customHeight="true" outlineLevel="0" collapsed="false">
      <c r="A40" s="79" t="s">
        <v>461</v>
      </c>
      <c r="B40" s="79" t="s">
        <v>462</v>
      </c>
      <c r="C40" s="79" t="s">
        <v>373</v>
      </c>
      <c r="D40" s="80" t="n">
        <v>1</v>
      </c>
      <c r="E40" s="88" t="n">
        <f aca="false">'Temp Utilities'!B34</f>
        <v>5500</v>
      </c>
      <c r="F40" s="89" t="n">
        <f aca="false">D40*E40</f>
        <v>5500</v>
      </c>
      <c r="G40" s="82" t="s">
        <v>463</v>
      </c>
    </row>
    <row r="41" customFormat="false" ht="15" hidden="false" customHeight="true" outlineLevel="0" collapsed="false">
      <c r="A41" s="79" t="s">
        <v>464</v>
      </c>
      <c r="B41" s="79" t="s">
        <v>465</v>
      </c>
      <c r="C41" s="79" t="s">
        <v>225</v>
      </c>
      <c r="D41" s="80" t="n">
        <v>18</v>
      </c>
      <c r="E41" s="88" t="n">
        <f aca="false">'Temp Utilities'!B23</f>
        <v>1258.2624</v>
      </c>
      <c r="F41" s="89" t="n">
        <f aca="false">D41*E41</f>
        <v>22648.7232</v>
      </c>
      <c r="G41" s="82" t="s">
        <v>466</v>
      </c>
    </row>
    <row r="42" customFormat="false" ht="15" hidden="false" customHeight="true" outlineLevel="0" collapsed="false">
      <c r="A42" s="79" t="s">
        <v>467</v>
      </c>
      <c r="B42" s="79" t="s">
        <v>468</v>
      </c>
      <c r="C42" s="79" t="s">
        <v>373</v>
      </c>
      <c r="D42" s="80" t="n">
        <v>1</v>
      </c>
      <c r="E42" s="88" t="n">
        <f aca="false">'Temp Utilities'!B43</f>
        <v>1900</v>
      </c>
      <c r="F42" s="89" t="n">
        <f aca="false">D42*E42</f>
        <v>1900</v>
      </c>
      <c r="G42" s="82" t="s">
        <v>469</v>
      </c>
    </row>
    <row r="43" customFormat="false" ht="15" hidden="false" customHeight="true" outlineLevel="0" collapsed="false">
      <c r="A43" s="79" t="s">
        <v>470</v>
      </c>
      <c r="B43" s="79" t="s">
        <v>471</v>
      </c>
      <c r="C43" s="79" t="s">
        <v>225</v>
      </c>
      <c r="D43" s="80" t="n">
        <v>18</v>
      </c>
      <c r="E43" s="88" t="n">
        <f aca="false">'Temp Utilities'!B57</f>
        <v>160.83</v>
      </c>
      <c r="F43" s="89" t="n">
        <f aca="false">D43*E43</f>
        <v>2894.94</v>
      </c>
      <c r="G43" s="82" t="s">
        <v>472</v>
      </c>
    </row>
    <row r="44" customFormat="false" ht="15" hidden="false" customHeight="true" outlineLevel="0" collapsed="false">
      <c r="A44" s="86" t="s">
        <v>473</v>
      </c>
      <c r="B44" s="86" t="s">
        <v>474</v>
      </c>
      <c r="C44" s="87"/>
      <c r="D44" s="87"/>
      <c r="E44" s="87"/>
      <c r="F44" s="87"/>
      <c r="G44" s="87"/>
    </row>
    <row r="45" customFormat="false" ht="15" hidden="false" customHeight="true" outlineLevel="0" collapsed="false">
      <c r="A45" s="79" t="s">
        <v>475</v>
      </c>
      <c r="B45" s="79" t="s">
        <v>476</v>
      </c>
      <c r="C45" s="79" t="s">
        <v>225</v>
      </c>
      <c r="D45" s="80" t="n">
        <v>18</v>
      </c>
      <c r="E45" s="88" t="n">
        <f aca="false">'BU Z.01.08'!E10</f>
        <v>500</v>
      </c>
      <c r="F45" s="89" t="n">
        <f aca="false">D45*E45</f>
        <v>9000</v>
      </c>
      <c r="G45" s="82" t="s">
        <v>477</v>
      </c>
    </row>
    <row r="46" customFormat="false" ht="15" hidden="false" customHeight="true" outlineLevel="0" collapsed="false">
      <c r="A46" s="79" t="s">
        <v>478</v>
      </c>
      <c r="B46" s="79" t="s">
        <v>479</v>
      </c>
      <c r="C46" s="79" t="s">
        <v>225</v>
      </c>
      <c r="D46" s="80" t="n">
        <v>18</v>
      </c>
      <c r="E46" s="88" t="n">
        <f aca="false">'BU Z.01.08'!E17</f>
        <v>900</v>
      </c>
      <c r="F46" s="89" t="n">
        <f aca="false">D46*E46</f>
        <v>16200</v>
      </c>
      <c r="G46" s="82" t="s">
        <v>480</v>
      </c>
    </row>
    <row r="47" customFormat="false" ht="15" hidden="false" customHeight="true" outlineLevel="0" collapsed="false">
      <c r="A47" s="79" t="s">
        <v>481</v>
      </c>
      <c r="B47" s="79" t="s">
        <v>482</v>
      </c>
      <c r="C47" s="79" t="s">
        <v>373</v>
      </c>
      <c r="D47" s="80" t="n">
        <v>1</v>
      </c>
      <c r="E47" s="88" t="n">
        <f aca="false">'BU Z.01.08'!E25</f>
        <v>8000</v>
      </c>
      <c r="F47" s="89" t="n">
        <f aca="false">D47*E47</f>
        <v>8000</v>
      </c>
      <c r="G47" s="82" t="s">
        <v>483</v>
      </c>
    </row>
    <row r="48" customFormat="false" ht="15" hidden="false" customHeight="true" outlineLevel="0" collapsed="false">
      <c r="A48" s="84" t="s">
        <v>484</v>
      </c>
      <c r="B48" s="84" t="s">
        <v>485</v>
      </c>
      <c r="C48" s="85"/>
      <c r="D48" s="85"/>
      <c r="E48" s="85"/>
      <c r="F48" s="85"/>
      <c r="G48" s="85"/>
    </row>
    <row r="49" customFormat="false" ht="15" hidden="false" customHeight="true" outlineLevel="0" collapsed="false">
      <c r="A49" s="79" t="s">
        <v>486</v>
      </c>
      <c r="B49" s="79" t="s">
        <v>487</v>
      </c>
      <c r="C49" s="79" t="s">
        <v>315</v>
      </c>
      <c r="F49" s="91" t="n">
        <f aca="false">'Staff Schedule'!G14</f>
        <v>63000</v>
      </c>
      <c r="G49" s="82" t="s">
        <v>488</v>
      </c>
    </row>
    <row r="50" customFormat="false" ht="15" hidden="false" customHeight="true" outlineLevel="0" collapsed="false">
      <c r="A50" s="79" t="s">
        <v>489</v>
      </c>
      <c r="B50" s="79" t="s">
        <v>490</v>
      </c>
      <c r="C50" s="79" t="s">
        <v>315</v>
      </c>
      <c r="F50" s="91" t="n">
        <f aca="false">'Staff Schedule'!G15</f>
        <v>132000</v>
      </c>
      <c r="G50" s="82" t="s">
        <v>488</v>
      </c>
    </row>
    <row r="51" customFormat="false" ht="15" hidden="false" customHeight="true" outlineLevel="0" collapsed="false">
      <c r="A51" s="79" t="s">
        <v>491</v>
      </c>
      <c r="B51" s="79" t="s">
        <v>492</v>
      </c>
      <c r="C51" s="79" t="s">
        <v>373</v>
      </c>
      <c r="F51" s="89" t="n">
        <v>0</v>
      </c>
      <c r="G51" s="82" t="s">
        <v>493</v>
      </c>
    </row>
    <row r="52" customFormat="false" ht="15" hidden="false" customHeight="true" outlineLevel="0" collapsed="false">
      <c r="A52" s="79" t="s">
        <v>494</v>
      </c>
      <c r="B52" s="79" t="s">
        <v>495</v>
      </c>
      <c r="C52" s="79" t="s">
        <v>225</v>
      </c>
      <c r="D52" s="80" t="n">
        <v>18</v>
      </c>
      <c r="E52" s="92" t="n">
        <v>300</v>
      </c>
      <c r="F52" s="89" t="n">
        <f aca="false">D52*E52</f>
        <v>5400</v>
      </c>
      <c r="G52" s="82" t="s">
        <v>496</v>
      </c>
    </row>
    <row r="53" customFormat="false" ht="15" hidden="false" customHeight="true" outlineLevel="0" collapsed="false">
      <c r="A53" s="79" t="s">
        <v>497</v>
      </c>
      <c r="B53" s="79" t="s">
        <v>498</v>
      </c>
      <c r="C53" s="79" t="s">
        <v>225</v>
      </c>
      <c r="D53" s="80" t="n">
        <v>18</v>
      </c>
      <c r="E53" s="92" t="n">
        <v>200</v>
      </c>
      <c r="F53" s="89" t="n">
        <f aca="false">D53*E53</f>
        <v>3600</v>
      </c>
      <c r="G53" s="82" t="s">
        <v>496</v>
      </c>
    </row>
    <row r="54" customFormat="false" ht="15" hidden="false" customHeight="true" outlineLevel="0" collapsed="false">
      <c r="A54" s="79" t="s">
        <v>499</v>
      </c>
      <c r="B54" s="79" t="s">
        <v>500</v>
      </c>
      <c r="C54" s="79" t="s">
        <v>225</v>
      </c>
      <c r="D54" s="80" t="n">
        <v>18</v>
      </c>
      <c r="E54" s="92" t="n">
        <v>250</v>
      </c>
      <c r="F54" s="89" t="n">
        <f aca="false">D54*E54</f>
        <v>4500</v>
      </c>
      <c r="G54" s="82" t="s">
        <v>496</v>
      </c>
    </row>
    <row r="55" customFormat="false" ht="15" hidden="false" customHeight="true" outlineLevel="0" collapsed="false">
      <c r="A55" s="79" t="s">
        <v>501</v>
      </c>
      <c r="B55" s="79" t="s">
        <v>502</v>
      </c>
      <c r="C55" s="79" t="s">
        <v>225</v>
      </c>
      <c r="D55" s="80" t="n">
        <v>18</v>
      </c>
      <c r="E55" s="92" t="n">
        <v>150</v>
      </c>
      <c r="F55" s="89" t="n">
        <f aca="false">D55*E55</f>
        <v>2700</v>
      </c>
      <c r="G55" s="82" t="s">
        <v>496</v>
      </c>
    </row>
    <row r="56" customFormat="false" ht="15" hidden="false" customHeight="true" outlineLevel="0" collapsed="false">
      <c r="A56" s="79" t="s">
        <v>503</v>
      </c>
      <c r="B56" s="79" t="s">
        <v>504</v>
      </c>
      <c r="C56" s="79" t="s">
        <v>373</v>
      </c>
      <c r="F56" s="89" t="n">
        <v>0</v>
      </c>
      <c r="G56" s="82" t="s">
        <v>505</v>
      </c>
    </row>
    <row r="57" customFormat="false" ht="15" hidden="false" customHeight="true" outlineLevel="0" collapsed="false">
      <c r="A57" s="79" t="s">
        <v>506</v>
      </c>
      <c r="B57" s="79" t="s">
        <v>507</v>
      </c>
      <c r="C57" s="79" t="s">
        <v>225</v>
      </c>
      <c r="D57" s="80" t="n">
        <v>18</v>
      </c>
      <c r="E57" s="92" t="n">
        <v>100</v>
      </c>
      <c r="F57" s="89" t="n">
        <f aca="false">D57*E57</f>
        <v>1800</v>
      </c>
      <c r="G57" s="82" t="s">
        <v>496</v>
      </c>
    </row>
    <row r="58" customFormat="false" ht="15" hidden="false" customHeight="true" outlineLevel="0" collapsed="false">
      <c r="A58" s="79" t="s">
        <v>508</v>
      </c>
      <c r="B58" s="79" t="s">
        <v>509</v>
      </c>
      <c r="C58" s="79" t="s">
        <v>225</v>
      </c>
      <c r="D58" s="80" t="n">
        <v>18</v>
      </c>
      <c r="E58" s="92" t="n">
        <v>200</v>
      </c>
      <c r="F58" s="89" t="n">
        <f aca="false">D58*E58</f>
        <v>3600</v>
      </c>
      <c r="G58" s="82" t="s">
        <v>496</v>
      </c>
    </row>
    <row r="59" customFormat="false" ht="15" hidden="false" customHeight="true" outlineLevel="0" collapsed="false">
      <c r="A59" s="84" t="s">
        <v>510</v>
      </c>
      <c r="B59" s="84" t="s">
        <v>511</v>
      </c>
      <c r="C59" s="85"/>
      <c r="D59" s="85"/>
      <c r="E59" s="85"/>
      <c r="F59" s="85"/>
      <c r="G59" s="85"/>
    </row>
    <row r="60" customFormat="false" ht="15" hidden="false" customHeight="true" outlineLevel="0" collapsed="false">
      <c r="A60" s="79" t="s">
        <v>512</v>
      </c>
      <c r="B60" s="79" t="s">
        <v>513</v>
      </c>
      <c r="C60" s="79" t="s">
        <v>373</v>
      </c>
      <c r="D60" s="80" t="n">
        <v>1</v>
      </c>
      <c r="E60" s="88" t="n">
        <f aca="false">'BU Z.50'!E8</f>
        <v>10000</v>
      </c>
      <c r="F60" s="89" t="n">
        <f aca="false">D60*E60</f>
        <v>10000</v>
      </c>
      <c r="G60" s="82" t="s">
        <v>514</v>
      </c>
    </row>
    <row r="61" customFormat="false" ht="15" hidden="false" customHeight="true" outlineLevel="0" collapsed="false">
      <c r="A61" s="79" t="s">
        <v>515</v>
      </c>
      <c r="B61" s="79" t="s">
        <v>516</v>
      </c>
      <c r="C61" s="79" t="s">
        <v>373</v>
      </c>
      <c r="D61" s="80" t="n">
        <v>1</v>
      </c>
      <c r="E61" s="88" t="n">
        <f aca="false">'BU Z.50'!E14</f>
        <v>6000</v>
      </c>
      <c r="F61" s="89" t="n">
        <f aca="false">D61*E61</f>
        <v>6000</v>
      </c>
      <c r="G61" s="82" t="s">
        <v>517</v>
      </c>
    </row>
    <row r="62" customFormat="false" ht="15" hidden="false" customHeight="true" outlineLevel="0" collapsed="false">
      <c r="A62" s="79" t="s">
        <v>518</v>
      </c>
      <c r="B62" s="79" t="s">
        <v>519</v>
      </c>
      <c r="C62" s="79" t="s">
        <v>373</v>
      </c>
      <c r="D62" s="80" t="n">
        <v>1</v>
      </c>
      <c r="E62" s="88" t="n">
        <f aca="false">'BU Z.50'!E22</f>
        <v>5000</v>
      </c>
      <c r="F62" s="89" t="n">
        <f aca="false">D62*E62</f>
        <v>5000</v>
      </c>
      <c r="G62" s="82" t="s">
        <v>520</v>
      </c>
    </row>
    <row r="63" customFormat="false" ht="15" hidden="false" customHeight="true" outlineLevel="0" collapsed="false">
      <c r="A63" s="84" t="s">
        <v>521</v>
      </c>
      <c r="B63" s="84" t="s">
        <v>522</v>
      </c>
      <c r="C63" s="85"/>
      <c r="D63" s="85"/>
      <c r="E63" s="85"/>
      <c r="F63" s="85"/>
      <c r="G63" s="85"/>
    </row>
    <row r="64" customFormat="false" ht="15" hidden="false" customHeight="true" outlineLevel="0" collapsed="false">
      <c r="A64" s="79" t="s">
        <v>523</v>
      </c>
      <c r="B64" s="79" t="s">
        <v>524</v>
      </c>
      <c r="C64" s="79" t="s">
        <v>373</v>
      </c>
      <c r="F64" s="89" t="n">
        <v>0</v>
      </c>
      <c r="G64" s="82" t="s">
        <v>525</v>
      </c>
    </row>
    <row r="66" customFormat="false" ht="15" hidden="false" customHeight="true" outlineLevel="0" collapsed="false">
      <c r="B66" s="93" t="s">
        <v>526</v>
      </c>
      <c r="F66" s="94" t="n">
        <f aca="false">F7+F8+F9+F10+F11+F12+F14+F15+F16+F17+F18+F19+F20+F22+F23+F24+F25+F27+F28+F30+F31+F32+F33+F34+F35+F36+F38+F40+F41+F42+F43+F45+F46+F47</f>
        <v>347597.6632</v>
      </c>
    </row>
    <row r="67" customFormat="false" ht="15" hidden="false" customHeight="true" outlineLevel="0" collapsed="false">
      <c r="B67" s="93" t="s">
        <v>527</v>
      </c>
      <c r="F67" s="94" t="n">
        <f aca="false">F49+F50+F51+F52+F53+F54+F55+F56+F57+F58</f>
        <v>216600</v>
      </c>
    </row>
    <row r="68" customFormat="false" ht="15" hidden="false" customHeight="true" outlineLevel="0" collapsed="false">
      <c r="B68" s="93" t="s">
        <v>528</v>
      </c>
      <c r="F68" s="94" t="n">
        <f aca="false">F60+F61+F62</f>
        <v>21000</v>
      </c>
    </row>
    <row r="69" customFormat="false" ht="15" hidden="false" customHeight="true" outlineLevel="0" collapsed="false">
      <c r="B69" s="93" t="s">
        <v>529</v>
      </c>
      <c r="F69" s="94" t="n">
        <f aca="false">F64</f>
        <v>0</v>
      </c>
    </row>
    <row r="70" customFormat="false" ht="15" hidden="false" customHeight="true" outlineLevel="0" collapsed="false">
      <c r="B70" s="95" t="s">
        <v>530</v>
      </c>
      <c r="F70" s="96" t="n">
        <f aca="false">F66+F67+F68+F69</f>
        <v>585197.6632</v>
      </c>
    </row>
    <row r="72" customFormat="false" ht="15" hidden="false" customHeight="true" outlineLevel="0" collapsed="false">
      <c r="A72" s="97" t="s">
        <v>531</v>
      </c>
    </row>
    <row r="73" customFormat="false" ht="15" hidden="false" customHeight="true" outlineLevel="0" collapsed="false">
      <c r="A73" s="98" t="s">
        <v>532</v>
      </c>
      <c r="B73" s="98" t="s">
        <v>533</v>
      </c>
      <c r="F73" s="99" t="n">
        <v>12000</v>
      </c>
      <c r="G73" s="77" t="s">
        <v>534</v>
      </c>
    </row>
    <row r="74" customFormat="false" ht="15" hidden="false" customHeight="true" outlineLevel="0" collapsed="false">
      <c r="A74" s="98" t="s">
        <v>532</v>
      </c>
      <c r="B74" s="98" t="s">
        <v>535</v>
      </c>
      <c r="F74" s="99" t="n">
        <v>6000</v>
      </c>
      <c r="G74" s="77" t="s">
        <v>534</v>
      </c>
    </row>
    <row r="76" customFormat="false" ht="15" hidden="false" customHeight="true" outlineLevel="0" collapsed="false">
      <c r="A76" s="97" t="s">
        <v>536</v>
      </c>
    </row>
    <row r="77" customFormat="false" ht="15" hidden="false" customHeight="true" outlineLevel="0" collapsed="false">
      <c r="B77" s="77" t="s">
        <v>537</v>
      </c>
    </row>
    <row r="78" customFormat="false" ht="15" hidden="false" customHeight="true" outlineLevel="0" collapsed="false">
      <c r="B78" s="77" t="s">
        <v>538</v>
      </c>
    </row>
    <row r="79" customFormat="false" ht="15" hidden="false" customHeight="true" outlineLevel="0" collapsed="false">
      <c r="B79" s="77" t="s">
        <v>539</v>
      </c>
    </row>
    <row r="80" customFormat="false" ht="15" hidden="false" customHeight="true" outlineLevel="0" collapsed="false">
      <c r="B80" s="77" t="s">
        <v>540</v>
      </c>
    </row>
    <row r="81" customFormat="false" ht="15" hidden="false" customHeight="true" outlineLevel="0" collapsed="false">
      <c r="B81" s="77" t="s">
        <v>541</v>
      </c>
    </row>
    <row r="82" customFormat="false" ht="15" hidden="false" customHeight="true" outlineLevel="0" collapsed="false">
      <c r="B82" s="77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6"/>
    <col collapsed="false" customWidth="true" hidden="false" outlineLevel="0" max="2" min="2" style="10" width="34"/>
    <col collapsed="false" customWidth="true" hidden="false" outlineLevel="0" max="3" min="3" style="10" width="10"/>
    <col collapsed="false" customWidth="true" hidden="false" outlineLevel="0" max="5" min="4" style="10" width="9"/>
    <col collapsed="false" customWidth="true" hidden="false" outlineLevel="0" max="6" min="6" style="10" width="16"/>
    <col collapsed="false" customWidth="true" hidden="false" outlineLevel="0" max="7" min="7" style="10" width="14"/>
  </cols>
  <sheetData>
    <row r="1" customFormat="false" ht="17.25" hidden="false" customHeight="true" outlineLevel="0" collapsed="false">
      <c r="A1" s="76" t="s">
        <v>543</v>
      </c>
    </row>
    <row r="2" customFormat="false" ht="15" hidden="false" customHeight="true" outlineLevel="0" collapsed="false">
      <c r="A2" s="77" t="s">
        <v>544</v>
      </c>
    </row>
    <row r="4" customFormat="false" ht="15" hidden="false" customHeight="true" outlineLevel="0" collapsed="false">
      <c r="A4" s="78" t="s">
        <v>200</v>
      </c>
      <c r="B4" s="78" t="s">
        <v>545</v>
      </c>
      <c r="C4" s="78" t="s">
        <v>546</v>
      </c>
      <c r="D4" s="78" t="s">
        <v>547</v>
      </c>
      <c r="E4" s="78" t="s">
        <v>548</v>
      </c>
      <c r="F4" s="78" t="s">
        <v>549</v>
      </c>
      <c r="G4" s="78" t="s">
        <v>550</v>
      </c>
    </row>
    <row r="5" customFormat="false" ht="15" hidden="false" customHeight="true" outlineLevel="0" collapsed="false">
      <c r="A5" s="79" t="n">
        <v>1</v>
      </c>
      <c r="B5" s="79" t="s">
        <v>551</v>
      </c>
      <c r="C5" s="79" t="s">
        <v>552</v>
      </c>
      <c r="D5" s="100" t="n">
        <v>1</v>
      </c>
      <c r="E5" s="100" t="n">
        <v>18</v>
      </c>
      <c r="F5" s="101" t="n">
        <v>3500</v>
      </c>
      <c r="G5" s="89" t="n">
        <f aca="false">D5*E5*F5</f>
        <v>63000</v>
      </c>
    </row>
    <row r="6" customFormat="false" ht="15" hidden="false" customHeight="true" outlineLevel="0" collapsed="false">
      <c r="A6" s="79" t="n">
        <v>2</v>
      </c>
      <c r="B6" s="79" t="s">
        <v>553</v>
      </c>
      <c r="C6" s="79" t="s">
        <v>554</v>
      </c>
      <c r="D6" s="100" t="n">
        <v>2</v>
      </c>
      <c r="E6" s="100" t="n">
        <v>18</v>
      </c>
      <c r="F6" s="101" t="n">
        <v>1200</v>
      </c>
      <c r="G6" s="89" t="n">
        <f aca="false">D6*E6*F6</f>
        <v>43200</v>
      </c>
    </row>
    <row r="7" customFormat="false" ht="15" hidden="false" customHeight="true" outlineLevel="0" collapsed="false">
      <c r="A7" s="79" t="n">
        <v>3</v>
      </c>
      <c r="B7" s="79" t="s">
        <v>555</v>
      </c>
      <c r="C7" s="79" t="s">
        <v>554</v>
      </c>
      <c r="D7" s="100" t="n">
        <v>1</v>
      </c>
      <c r="E7" s="100" t="n">
        <v>18</v>
      </c>
      <c r="F7" s="101" t="n">
        <v>1000</v>
      </c>
      <c r="G7" s="89" t="n">
        <f aca="false">D7*E7*F7</f>
        <v>18000</v>
      </c>
    </row>
    <row r="8" customFormat="false" ht="15" hidden="false" customHeight="true" outlineLevel="0" collapsed="false">
      <c r="A8" s="79" t="n">
        <v>4</v>
      </c>
      <c r="B8" s="79" t="s">
        <v>556</v>
      </c>
      <c r="C8" s="79" t="s">
        <v>554</v>
      </c>
      <c r="D8" s="100" t="n">
        <v>1</v>
      </c>
      <c r="E8" s="100" t="n">
        <v>18</v>
      </c>
      <c r="F8" s="101" t="n">
        <v>800</v>
      </c>
      <c r="G8" s="89" t="n">
        <f aca="false">D8*E8*F8</f>
        <v>14400</v>
      </c>
    </row>
    <row r="9" customFormat="false" ht="15" hidden="false" customHeight="true" outlineLevel="0" collapsed="false">
      <c r="A9" s="79" t="n">
        <v>5</v>
      </c>
      <c r="B9" s="79" t="s">
        <v>557</v>
      </c>
      <c r="C9" s="79" t="s">
        <v>554</v>
      </c>
      <c r="D9" s="100" t="n">
        <v>1</v>
      </c>
      <c r="E9" s="100" t="n">
        <v>18</v>
      </c>
      <c r="F9" s="101" t="n">
        <v>900</v>
      </c>
      <c r="G9" s="89" t="n">
        <f aca="false">D9*E9*F9</f>
        <v>16200</v>
      </c>
    </row>
    <row r="10" customFormat="false" ht="15" hidden="false" customHeight="true" outlineLevel="0" collapsed="false">
      <c r="A10" s="79" t="n">
        <v>6</v>
      </c>
      <c r="B10" s="79" t="s">
        <v>558</v>
      </c>
      <c r="C10" s="79" t="s">
        <v>554</v>
      </c>
      <c r="D10" s="100" t="n">
        <v>2</v>
      </c>
      <c r="E10" s="100" t="n">
        <v>18</v>
      </c>
      <c r="F10" s="101" t="n">
        <v>700</v>
      </c>
      <c r="G10" s="89" t="n">
        <f aca="false">D10*E10*F10</f>
        <v>25200</v>
      </c>
    </row>
    <row r="11" customFormat="false" ht="15" hidden="false" customHeight="true" outlineLevel="0" collapsed="false">
      <c r="A11" s="79" t="n">
        <v>7</v>
      </c>
      <c r="B11" s="79" t="s">
        <v>559</v>
      </c>
      <c r="C11" s="79" t="s">
        <v>554</v>
      </c>
      <c r="D11" s="100" t="n">
        <v>1</v>
      </c>
      <c r="E11" s="100" t="n">
        <v>18</v>
      </c>
      <c r="F11" s="101" t="n">
        <v>500</v>
      </c>
      <c r="G11" s="89" t="n">
        <f aca="false">D11*E11*F11</f>
        <v>9000</v>
      </c>
    </row>
    <row r="12" customFormat="false" ht="15" hidden="false" customHeight="true" outlineLevel="0" collapsed="false">
      <c r="A12" s="79" t="n">
        <v>8</v>
      </c>
      <c r="B12" s="79" t="s">
        <v>560</v>
      </c>
      <c r="C12" s="79" t="s">
        <v>554</v>
      </c>
      <c r="D12" s="100" t="n">
        <v>1</v>
      </c>
      <c r="E12" s="100" t="n">
        <v>12</v>
      </c>
      <c r="F12" s="101" t="n">
        <v>500</v>
      </c>
      <c r="G12" s="89" t="n">
        <f aca="false">D12*E12*F12</f>
        <v>6000</v>
      </c>
    </row>
    <row r="14" customFormat="false" ht="15" hidden="false" customHeight="true" outlineLevel="0" collapsed="false">
      <c r="B14" s="97" t="s">
        <v>561</v>
      </c>
      <c r="G14" s="102" t="n">
        <f aca="false">SUMIF(C5:C12,"Foreign",G5:G12)</f>
        <v>63000</v>
      </c>
    </row>
    <row r="15" customFormat="false" ht="15" hidden="false" customHeight="true" outlineLevel="0" collapsed="false">
      <c r="B15" s="97" t="s">
        <v>562</v>
      </c>
      <c r="G15" s="102" t="n">
        <f aca="false">SUMIF(C5:C12,"Local",G5:G12)</f>
        <v>132000</v>
      </c>
    </row>
    <row r="16" customFormat="false" ht="15" hidden="false" customHeight="true" outlineLevel="0" collapsed="false">
      <c r="B16" s="97" t="s">
        <v>563</v>
      </c>
      <c r="G16" s="102" t="n">
        <f aca="false">G14+G15</f>
        <v>195000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46"/>
    <col collapsed="false" customWidth="true" hidden="false" outlineLevel="0" max="5" min="2" style="10" width="13"/>
  </cols>
  <sheetData>
    <row r="1" customFormat="false" ht="17.25" hidden="false" customHeight="true" outlineLevel="0" collapsed="false">
      <c r="A1" s="76" t="s">
        <v>564</v>
      </c>
    </row>
    <row r="2" customFormat="false" ht="15" hidden="false" customHeight="true" outlineLevel="0" collapsed="false">
      <c r="A2" s="77" t="s">
        <v>565</v>
      </c>
    </row>
    <row r="4" customFormat="false" ht="15" hidden="false" customHeight="true" outlineLevel="0" collapsed="false">
      <c r="A4" s="84" t="s">
        <v>566</v>
      </c>
      <c r="B4" s="85"/>
      <c r="C4" s="85"/>
      <c r="D4" s="85"/>
      <c r="E4" s="85"/>
    </row>
    <row r="5" customFormat="false" ht="15" hidden="false" customHeight="true" outlineLevel="0" collapsed="false">
      <c r="A5" s="86" t="s">
        <v>567</v>
      </c>
    </row>
    <row r="6" customFormat="false" ht="15" hidden="false" customHeight="true" outlineLevel="0" collapsed="false">
      <c r="A6" s="78" t="s">
        <v>568</v>
      </c>
      <c r="B6" s="78" t="s">
        <v>569</v>
      </c>
      <c r="C6" s="78" t="s">
        <v>570</v>
      </c>
      <c r="D6" s="78" t="s">
        <v>571</v>
      </c>
      <c r="E6" s="78" t="s">
        <v>572</v>
      </c>
    </row>
    <row r="7" customFormat="false" ht="15" hidden="false" customHeight="true" outlineLevel="0" collapsed="false">
      <c r="A7" s="79" t="s">
        <v>573</v>
      </c>
      <c r="B7" s="100" t="n">
        <v>30</v>
      </c>
      <c r="C7" s="100" t="n">
        <v>6</v>
      </c>
      <c r="D7" s="100" t="n">
        <v>26</v>
      </c>
      <c r="E7" s="83" t="n">
        <f aca="false">B7*C7*D7</f>
        <v>4680</v>
      </c>
    </row>
    <row r="8" customFormat="false" ht="15" hidden="false" customHeight="true" outlineLevel="0" collapsed="false">
      <c r="A8" s="79" t="s">
        <v>574</v>
      </c>
      <c r="B8" s="100" t="n">
        <v>15</v>
      </c>
      <c r="C8" s="100" t="n">
        <v>5</v>
      </c>
      <c r="D8" s="100" t="n">
        <v>26</v>
      </c>
      <c r="E8" s="83" t="n">
        <f aca="false">B8*C8*D8</f>
        <v>1950</v>
      </c>
    </row>
    <row r="9" customFormat="false" ht="15" hidden="false" customHeight="true" outlineLevel="0" collapsed="false">
      <c r="A9" s="79" t="s">
        <v>575</v>
      </c>
      <c r="B9" s="100" t="n">
        <v>6</v>
      </c>
      <c r="C9" s="100" t="n">
        <v>5</v>
      </c>
      <c r="D9" s="100" t="n">
        <v>26</v>
      </c>
      <c r="E9" s="83" t="n">
        <f aca="false">B9*C9*D9</f>
        <v>780</v>
      </c>
    </row>
    <row r="10" customFormat="false" ht="15" hidden="false" customHeight="true" outlineLevel="0" collapsed="false">
      <c r="A10" s="79" t="s">
        <v>576</v>
      </c>
      <c r="B10" s="100" t="n">
        <v>6</v>
      </c>
      <c r="C10" s="100" t="n">
        <v>3</v>
      </c>
      <c r="D10" s="100" t="n">
        <v>20</v>
      </c>
      <c r="E10" s="83" t="n">
        <f aca="false">B10*C10*D10</f>
        <v>360</v>
      </c>
    </row>
    <row r="11" customFormat="false" ht="15" hidden="false" customHeight="true" outlineLevel="0" collapsed="false">
      <c r="A11" s="79" t="s">
        <v>577</v>
      </c>
      <c r="B11" s="100" t="n">
        <v>10</v>
      </c>
      <c r="C11" s="100" t="n">
        <v>3</v>
      </c>
      <c r="D11" s="100" t="n">
        <v>20</v>
      </c>
      <c r="E11" s="83" t="n">
        <f aca="false">B11*C11*D11</f>
        <v>600</v>
      </c>
    </row>
    <row r="12" customFormat="false" ht="15" hidden="false" customHeight="true" outlineLevel="0" collapsed="false">
      <c r="A12" s="79" t="s">
        <v>578</v>
      </c>
      <c r="B12" s="100" t="n">
        <v>3</v>
      </c>
      <c r="C12" s="100" t="n">
        <v>4</v>
      </c>
      <c r="D12" s="100" t="n">
        <v>26</v>
      </c>
      <c r="E12" s="83" t="n">
        <f aca="false">B12*C12*D12</f>
        <v>312</v>
      </c>
    </row>
    <row r="13" customFormat="false" ht="15" hidden="false" customHeight="true" outlineLevel="0" collapsed="false">
      <c r="A13" s="79" t="s">
        <v>579</v>
      </c>
      <c r="B13" s="100" t="n">
        <v>5</v>
      </c>
      <c r="C13" s="100" t="n">
        <v>9</v>
      </c>
      <c r="D13" s="100" t="n">
        <v>26</v>
      </c>
      <c r="E13" s="83" t="n">
        <f aca="false">B13*C13*D13</f>
        <v>1170</v>
      </c>
    </row>
    <row r="14" customFormat="false" ht="15" hidden="false" customHeight="true" outlineLevel="0" collapsed="false">
      <c r="A14" s="79" t="s">
        <v>580</v>
      </c>
      <c r="B14" s="100" t="n">
        <v>4</v>
      </c>
      <c r="C14" s="100" t="n">
        <v>11</v>
      </c>
      <c r="D14" s="100" t="n">
        <v>30</v>
      </c>
      <c r="E14" s="83" t="n">
        <f aca="false">B14*C14*D14</f>
        <v>1320</v>
      </c>
    </row>
    <row r="15" customFormat="false" ht="15" hidden="false" customHeight="true" outlineLevel="0" collapsed="false">
      <c r="A15" s="103" t="s">
        <v>581</v>
      </c>
      <c r="E15" s="104" t="n">
        <f aca="false">SUM(E7:E14)</f>
        <v>11172</v>
      </c>
    </row>
    <row r="17" customFormat="false" ht="15" hidden="false" customHeight="true" outlineLevel="0" collapsed="false">
      <c r="A17" s="86" t="s">
        <v>582</v>
      </c>
    </row>
    <row r="18" customFormat="false" ht="15" hidden="false" customHeight="true" outlineLevel="0" collapsed="false">
      <c r="A18" s="79" t="s">
        <v>583</v>
      </c>
      <c r="B18" s="105" t="n">
        <v>0.16</v>
      </c>
    </row>
    <row r="19" customFormat="false" ht="15" hidden="false" customHeight="true" outlineLevel="0" collapsed="false">
      <c r="A19" s="79" t="s">
        <v>584</v>
      </c>
      <c r="B19" s="106" t="n">
        <f aca="false">E15*B18</f>
        <v>1787.52</v>
      </c>
    </row>
    <row r="20" customFormat="false" ht="15" hidden="false" customHeight="true" outlineLevel="0" collapsed="false">
      <c r="A20" s="79" t="s">
        <v>585</v>
      </c>
      <c r="B20" s="107" t="n">
        <v>0.62</v>
      </c>
    </row>
    <row r="21" customFormat="false" ht="15" hidden="false" customHeight="true" outlineLevel="0" collapsed="false">
      <c r="A21" s="79" t="s">
        <v>586</v>
      </c>
      <c r="B21" s="106" t="n">
        <f aca="false">B19*B20</f>
        <v>1108.2624</v>
      </c>
    </row>
    <row r="22" customFormat="false" ht="15" hidden="false" customHeight="true" outlineLevel="0" collapsed="false">
      <c r="A22" s="79" t="s">
        <v>587</v>
      </c>
      <c r="B22" s="101" t="n">
        <v>150</v>
      </c>
    </row>
    <row r="23" customFormat="false" ht="15" hidden="false" customHeight="true" outlineLevel="0" collapsed="false">
      <c r="A23" s="103" t="s">
        <v>588</v>
      </c>
      <c r="B23" s="108" t="n">
        <f aca="false">B21+B22</f>
        <v>1258.2624</v>
      </c>
    </row>
    <row r="25" customFormat="false" ht="15" hidden="false" customHeight="true" outlineLevel="0" collapsed="false">
      <c r="A25" s="86" t="s">
        <v>589</v>
      </c>
    </row>
    <row r="26" customFormat="false" ht="15" hidden="false" customHeight="true" outlineLevel="0" collapsed="false">
      <c r="A26" s="109" t="s">
        <v>366</v>
      </c>
      <c r="B26" s="109" t="s">
        <v>210</v>
      </c>
    </row>
    <row r="27" customFormat="false" ht="15" hidden="false" customHeight="true" outlineLevel="0" collapsed="false">
      <c r="A27" s="79" t="s">
        <v>590</v>
      </c>
      <c r="B27" s="101" t="n">
        <v>1500</v>
      </c>
    </row>
    <row r="28" customFormat="false" ht="15" hidden="false" customHeight="true" outlineLevel="0" collapsed="false">
      <c r="A28" s="79" t="s">
        <v>591</v>
      </c>
      <c r="B28" s="101" t="n">
        <v>800</v>
      </c>
    </row>
    <row r="29" customFormat="false" ht="15" hidden="false" customHeight="true" outlineLevel="0" collapsed="false">
      <c r="A29" s="79" t="s">
        <v>592</v>
      </c>
      <c r="B29" s="101" t="n">
        <v>750</v>
      </c>
    </row>
    <row r="30" customFormat="false" ht="15" hidden="false" customHeight="true" outlineLevel="0" collapsed="false">
      <c r="A30" s="79" t="s">
        <v>593</v>
      </c>
      <c r="B30" s="101" t="n">
        <v>1200</v>
      </c>
    </row>
    <row r="31" customFormat="false" ht="15" hidden="false" customHeight="true" outlineLevel="0" collapsed="false">
      <c r="A31" s="79" t="s">
        <v>594</v>
      </c>
      <c r="B31" s="101" t="n">
        <v>400</v>
      </c>
    </row>
    <row r="32" customFormat="false" ht="15" hidden="false" customHeight="true" outlineLevel="0" collapsed="false">
      <c r="A32" s="79" t="s">
        <v>595</v>
      </c>
      <c r="B32" s="101" t="n">
        <v>600</v>
      </c>
    </row>
    <row r="33" customFormat="false" ht="15" hidden="false" customHeight="true" outlineLevel="0" collapsed="false">
      <c r="A33" s="79" t="s">
        <v>596</v>
      </c>
      <c r="B33" s="101" t="n">
        <v>250</v>
      </c>
    </row>
    <row r="34" customFormat="false" ht="15" hidden="false" customHeight="true" outlineLevel="0" collapsed="false">
      <c r="A34" s="103" t="s">
        <v>597</v>
      </c>
      <c r="B34" s="94" t="n">
        <f aca="false">SUM(B27:B33)</f>
        <v>5500</v>
      </c>
    </row>
    <row r="36" customFormat="false" ht="15" hidden="false" customHeight="true" outlineLevel="0" collapsed="false">
      <c r="A36" s="84" t="s">
        <v>598</v>
      </c>
      <c r="B36" s="85"/>
      <c r="C36" s="85"/>
      <c r="D36" s="85"/>
      <c r="E36" s="85"/>
    </row>
    <row r="37" customFormat="false" ht="15" hidden="false" customHeight="true" outlineLevel="0" collapsed="false">
      <c r="A37" s="86" t="s">
        <v>599</v>
      </c>
    </row>
    <row r="38" customFormat="false" ht="15" hidden="false" customHeight="true" outlineLevel="0" collapsed="false">
      <c r="A38" s="109" t="s">
        <v>366</v>
      </c>
      <c r="B38" s="109" t="s">
        <v>210</v>
      </c>
    </row>
    <row r="39" customFormat="false" ht="15" hidden="false" customHeight="true" outlineLevel="0" collapsed="false">
      <c r="A39" s="79" t="s">
        <v>600</v>
      </c>
      <c r="B39" s="101" t="n">
        <v>600</v>
      </c>
    </row>
    <row r="40" customFormat="false" ht="15" hidden="false" customHeight="true" outlineLevel="0" collapsed="false">
      <c r="A40" s="79" t="s">
        <v>601</v>
      </c>
      <c r="B40" s="101" t="n">
        <v>500</v>
      </c>
    </row>
    <row r="41" customFormat="false" ht="15" hidden="false" customHeight="true" outlineLevel="0" collapsed="false">
      <c r="A41" s="79" t="s">
        <v>602</v>
      </c>
      <c r="B41" s="101" t="n">
        <v>700</v>
      </c>
    </row>
    <row r="42" customFormat="false" ht="15" hidden="false" customHeight="true" outlineLevel="0" collapsed="false">
      <c r="A42" s="79" t="s">
        <v>596</v>
      </c>
      <c r="B42" s="101" t="n">
        <v>100</v>
      </c>
    </row>
    <row r="43" customFormat="false" ht="15" hidden="false" customHeight="true" outlineLevel="0" collapsed="false">
      <c r="A43" s="103" t="s">
        <v>603</v>
      </c>
      <c r="B43" s="94" t="n">
        <f aca="false">SUM(B39:B42)</f>
        <v>1900</v>
      </c>
    </row>
    <row r="45" customFormat="false" ht="15" hidden="false" customHeight="true" outlineLevel="0" collapsed="false">
      <c r="A45" s="86" t="s">
        <v>604</v>
      </c>
    </row>
    <row r="46" customFormat="false" ht="15" hidden="false" customHeight="true" outlineLevel="0" collapsed="false">
      <c r="A46" s="79" t="s">
        <v>605</v>
      </c>
      <c r="B46" s="80" t="n">
        <v>80</v>
      </c>
    </row>
    <row r="47" customFormat="false" ht="15" hidden="false" customHeight="true" outlineLevel="0" collapsed="false">
      <c r="A47" s="79" t="s">
        <v>606</v>
      </c>
      <c r="B47" s="80" t="n">
        <v>40</v>
      </c>
    </row>
    <row r="48" customFormat="false" ht="15" hidden="false" customHeight="true" outlineLevel="0" collapsed="false">
      <c r="A48" s="79" t="s">
        <v>607</v>
      </c>
      <c r="B48" s="80" t="n">
        <v>26</v>
      </c>
    </row>
    <row r="49" customFormat="false" ht="15" hidden="false" customHeight="true" outlineLevel="0" collapsed="false">
      <c r="A49" s="79" t="s">
        <v>608</v>
      </c>
      <c r="B49" s="110" t="n">
        <f aca="false">B46*B47*B48/1000</f>
        <v>83.2</v>
      </c>
    </row>
    <row r="50" customFormat="false" ht="15" hidden="false" customHeight="true" outlineLevel="0" collapsed="false">
      <c r="A50" s="79" t="s">
        <v>609</v>
      </c>
      <c r="B50" s="80" t="n">
        <v>40</v>
      </c>
    </row>
    <row r="51" customFormat="false" ht="15" hidden="false" customHeight="true" outlineLevel="0" collapsed="false">
      <c r="A51" s="79" t="s">
        <v>610</v>
      </c>
      <c r="B51" s="80" t="n">
        <v>25</v>
      </c>
    </row>
    <row r="52" customFormat="false" ht="15" hidden="false" customHeight="true" outlineLevel="0" collapsed="false">
      <c r="A52" s="79" t="s">
        <v>611</v>
      </c>
      <c r="B52" s="80" t="n">
        <v>30</v>
      </c>
    </row>
    <row r="53" customFormat="false" ht="15" hidden="false" customHeight="true" outlineLevel="0" collapsed="false">
      <c r="A53" s="93" t="s">
        <v>612</v>
      </c>
      <c r="B53" s="111" t="n">
        <f aca="false">B49+B50+B51+B52</f>
        <v>178.2</v>
      </c>
    </row>
    <row r="54" customFormat="false" ht="15" hidden="false" customHeight="true" outlineLevel="0" collapsed="false">
      <c r="A54" s="79" t="s">
        <v>613</v>
      </c>
      <c r="B54" s="112" t="n">
        <v>0.65</v>
      </c>
    </row>
    <row r="55" customFormat="false" ht="15" hidden="false" customHeight="true" outlineLevel="0" collapsed="false">
      <c r="A55" s="79" t="s">
        <v>614</v>
      </c>
      <c r="B55" s="106" t="n">
        <f aca="false">B53*B54</f>
        <v>115.83</v>
      </c>
    </row>
    <row r="56" customFormat="false" ht="15" hidden="false" customHeight="true" outlineLevel="0" collapsed="false">
      <c r="A56" s="79" t="s">
        <v>615</v>
      </c>
      <c r="B56" s="101" t="n">
        <v>45</v>
      </c>
    </row>
    <row r="57" customFormat="false" ht="15" hidden="false" customHeight="true" outlineLevel="0" collapsed="false">
      <c r="A57" s="103" t="s">
        <v>616</v>
      </c>
      <c r="B57" s="108" t="n">
        <f aca="false">B55+B56</f>
        <v>160.83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46"/>
    <col collapsed="false" customWidth="true" hidden="false" outlineLevel="0" max="2" min="2" style="10" width="10"/>
    <col collapsed="false" customWidth="true" hidden="false" outlineLevel="0" max="3" min="3" style="10" width="9"/>
    <col collapsed="false" customWidth="true" hidden="false" outlineLevel="0" max="4" min="4" style="10" width="11"/>
    <col collapsed="false" customWidth="true" hidden="false" outlineLevel="0" max="5" min="5" style="10" width="12"/>
  </cols>
  <sheetData>
    <row r="1" customFormat="false" ht="17.25" hidden="false" customHeight="true" outlineLevel="0" collapsed="false">
      <c r="A1" s="76" t="s">
        <v>617</v>
      </c>
    </row>
    <row r="2" customFormat="false" ht="15" hidden="false" customHeight="true" outlineLevel="0" collapsed="false">
      <c r="A2" s="77" t="s">
        <v>618</v>
      </c>
    </row>
    <row r="4" customFormat="false" ht="15" hidden="false" customHeight="true" outlineLevel="0" collapsed="false">
      <c r="A4" s="86" t="s">
        <v>372</v>
      </c>
      <c r="B4" s="86" t="s">
        <v>619</v>
      </c>
      <c r="C4" s="87"/>
      <c r="D4" s="87"/>
      <c r="E4" s="87"/>
    </row>
    <row r="5" customFormat="false" ht="15" hidden="false" customHeight="true" outlineLevel="0" collapsed="false">
      <c r="A5" s="78" t="s">
        <v>620</v>
      </c>
      <c r="B5" s="78" t="s">
        <v>367</v>
      </c>
      <c r="C5" s="78" t="s">
        <v>34</v>
      </c>
      <c r="D5" s="78" t="s">
        <v>209</v>
      </c>
      <c r="E5" s="78" t="s">
        <v>210</v>
      </c>
    </row>
    <row r="6" customFormat="false" ht="15" hidden="false" customHeight="true" outlineLevel="0" collapsed="false">
      <c r="A6" s="79" t="s">
        <v>621</v>
      </c>
      <c r="B6" s="113" t="n">
        <v>12</v>
      </c>
      <c r="C6" s="79" t="s">
        <v>134</v>
      </c>
      <c r="D6" s="92" t="n">
        <v>400</v>
      </c>
      <c r="E6" s="106" t="n">
        <f aca="false">B6*D6</f>
        <v>4800</v>
      </c>
    </row>
    <row r="7" customFormat="false" ht="15" hidden="false" customHeight="true" outlineLevel="0" collapsed="false">
      <c r="A7" s="79" t="s">
        <v>622</v>
      </c>
      <c r="B7" s="113" t="n">
        <v>4</v>
      </c>
      <c r="C7" s="79" t="s">
        <v>623</v>
      </c>
      <c r="D7" s="92" t="n">
        <v>300</v>
      </c>
      <c r="E7" s="106" t="n">
        <f aca="false">B7*D7</f>
        <v>1200</v>
      </c>
    </row>
    <row r="8" customFormat="false" ht="15" hidden="false" customHeight="true" outlineLevel="0" collapsed="false">
      <c r="A8" s="79" t="s">
        <v>624</v>
      </c>
      <c r="B8" s="113" t="n">
        <v>100</v>
      </c>
      <c r="C8" s="79" t="s">
        <v>625</v>
      </c>
      <c r="D8" s="92" t="n">
        <v>12</v>
      </c>
      <c r="E8" s="106" t="n">
        <f aca="false">B8*D8</f>
        <v>1200</v>
      </c>
    </row>
    <row r="9" customFormat="false" ht="15" hidden="false" customHeight="true" outlineLevel="0" collapsed="false">
      <c r="A9" s="79" t="s">
        <v>626</v>
      </c>
      <c r="B9" s="113" t="n">
        <v>1</v>
      </c>
      <c r="C9" s="79" t="s">
        <v>102</v>
      </c>
      <c r="D9" s="92" t="n">
        <v>1000</v>
      </c>
      <c r="E9" s="106" t="n">
        <f aca="false">B9*D9</f>
        <v>1000</v>
      </c>
    </row>
    <row r="10" customFormat="false" ht="15" hidden="false" customHeight="true" outlineLevel="0" collapsed="false">
      <c r="A10" s="79" t="s">
        <v>627</v>
      </c>
      <c r="B10" s="113" t="n">
        <v>1</v>
      </c>
      <c r="C10" s="79" t="s">
        <v>102</v>
      </c>
      <c r="D10" s="92" t="n">
        <v>1500</v>
      </c>
      <c r="E10" s="106" t="n">
        <f aca="false">B10*D10</f>
        <v>1500</v>
      </c>
    </row>
    <row r="11" customFormat="false" ht="15" hidden="false" customHeight="true" outlineLevel="0" collapsed="false">
      <c r="A11" s="79" t="s">
        <v>628</v>
      </c>
      <c r="B11" s="113" t="n">
        <v>1</v>
      </c>
      <c r="C11" s="79" t="s">
        <v>102</v>
      </c>
      <c r="D11" s="92" t="n">
        <v>800</v>
      </c>
      <c r="E11" s="106" t="n">
        <f aca="false">B11*D11</f>
        <v>800</v>
      </c>
    </row>
    <row r="12" customFormat="false" ht="15" hidden="false" customHeight="true" outlineLevel="0" collapsed="false">
      <c r="B12" s="103" t="s">
        <v>629</v>
      </c>
      <c r="E12" s="108" t="n">
        <f aca="false">SUM(E6:E11)</f>
        <v>10500</v>
      </c>
    </row>
    <row r="14" customFormat="false" ht="15" hidden="false" customHeight="true" outlineLevel="0" collapsed="false">
      <c r="A14" s="86" t="s">
        <v>375</v>
      </c>
      <c r="B14" s="86" t="s">
        <v>630</v>
      </c>
      <c r="C14" s="87"/>
      <c r="D14" s="87"/>
      <c r="E14" s="87"/>
    </row>
    <row r="15" customFormat="false" ht="15" hidden="false" customHeight="true" outlineLevel="0" collapsed="false">
      <c r="A15" s="78" t="s">
        <v>620</v>
      </c>
      <c r="B15" s="78" t="s">
        <v>367</v>
      </c>
      <c r="C15" s="78" t="s">
        <v>34</v>
      </c>
      <c r="D15" s="78" t="s">
        <v>209</v>
      </c>
      <c r="E15" s="78" t="s">
        <v>210</v>
      </c>
    </row>
    <row r="16" customFormat="false" ht="15" hidden="false" customHeight="true" outlineLevel="0" collapsed="false">
      <c r="A16" s="79" t="s">
        <v>631</v>
      </c>
      <c r="B16" s="113" t="n">
        <v>10</v>
      </c>
      <c r="C16" s="79" t="s">
        <v>134</v>
      </c>
      <c r="D16" s="92" t="n">
        <v>400</v>
      </c>
      <c r="E16" s="106" t="n">
        <f aca="false">B16*D16</f>
        <v>4000</v>
      </c>
    </row>
    <row r="17" customFormat="false" ht="15" hidden="false" customHeight="true" outlineLevel="0" collapsed="false">
      <c r="A17" s="79" t="s">
        <v>632</v>
      </c>
      <c r="B17" s="113" t="n">
        <v>80</v>
      </c>
      <c r="C17" s="79" t="s">
        <v>625</v>
      </c>
      <c r="D17" s="92" t="n">
        <v>12</v>
      </c>
      <c r="E17" s="106" t="n">
        <f aca="false">B17*D17</f>
        <v>960</v>
      </c>
    </row>
    <row r="18" customFormat="false" ht="15" hidden="false" customHeight="true" outlineLevel="0" collapsed="false">
      <c r="A18" s="79" t="s">
        <v>633</v>
      </c>
      <c r="B18" s="113" t="n">
        <v>1</v>
      </c>
      <c r="C18" s="79" t="s">
        <v>102</v>
      </c>
      <c r="D18" s="92" t="n">
        <v>1500</v>
      </c>
      <c r="E18" s="106" t="n">
        <f aca="false">B18*D18</f>
        <v>1500</v>
      </c>
    </row>
    <row r="19" customFormat="false" ht="15" hidden="false" customHeight="true" outlineLevel="0" collapsed="false">
      <c r="B19" s="103" t="s">
        <v>634</v>
      </c>
      <c r="E19" s="108" t="n">
        <f aca="false">SUM(E16:E18)</f>
        <v>6460</v>
      </c>
    </row>
    <row r="21" customFormat="false" ht="15" hidden="false" customHeight="true" outlineLevel="0" collapsed="false">
      <c r="A21" s="86" t="s">
        <v>378</v>
      </c>
      <c r="B21" s="86" t="s">
        <v>635</v>
      </c>
      <c r="C21" s="87"/>
      <c r="D21" s="87"/>
      <c r="E21" s="87"/>
    </row>
    <row r="22" customFormat="false" ht="15" hidden="false" customHeight="true" outlineLevel="0" collapsed="false">
      <c r="A22" s="78" t="s">
        <v>620</v>
      </c>
      <c r="B22" s="78" t="s">
        <v>367</v>
      </c>
      <c r="C22" s="78" t="s">
        <v>34</v>
      </c>
      <c r="D22" s="78" t="s">
        <v>209</v>
      </c>
      <c r="E22" s="78" t="s">
        <v>210</v>
      </c>
    </row>
    <row r="23" customFormat="false" ht="15" hidden="false" customHeight="true" outlineLevel="0" collapsed="false">
      <c r="A23" s="79" t="s">
        <v>636</v>
      </c>
      <c r="B23" s="113" t="n">
        <v>300</v>
      </c>
      <c r="C23" s="79" t="s">
        <v>45</v>
      </c>
      <c r="D23" s="92" t="n">
        <v>18</v>
      </c>
      <c r="E23" s="106" t="n">
        <f aca="false">B23*D23</f>
        <v>5400</v>
      </c>
    </row>
    <row r="24" customFormat="false" ht="15" hidden="false" customHeight="true" outlineLevel="0" collapsed="false">
      <c r="A24" s="79" t="s">
        <v>637</v>
      </c>
      <c r="B24" s="113" t="n">
        <v>100</v>
      </c>
      <c r="C24" s="79" t="s">
        <v>45</v>
      </c>
      <c r="D24" s="92" t="n">
        <v>20</v>
      </c>
      <c r="E24" s="106" t="n">
        <f aca="false">B24*D24</f>
        <v>2000</v>
      </c>
    </row>
    <row r="25" customFormat="false" ht="15" hidden="false" customHeight="true" outlineLevel="0" collapsed="false">
      <c r="B25" s="103" t="s">
        <v>638</v>
      </c>
      <c r="E25" s="108" t="n">
        <f aca="false">SUM(E23:E24)</f>
        <v>7400</v>
      </c>
    </row>
    <row r="27" customFormat="false" ht="15" hidden="false" customHeight="true" outlineLevel="0" collapsed="false">
      <c r="A27" s="86" t="s">
        <v>381</v>
      </c>
      <c r="B27" s="86" t="s">
        <v>639</v>
      </c>
      <c r="C27" s="87"/>
      <c r="D27" s="87"/>
      <c r="E27" s="87"/>
    </row>
    <row r="28" customFormat="false" ht="15" hidden="false" customHeight="true" outlineLevel="0" collapsed="false">
      <c r="A28" s="78" t="s">
        <v>620</v>
      </c>
      <c r="B28" s="78" t="s">
        <v>367</v>
      </c>
      <c r="C28" s="78" t="s">
        <v>34</v>
      </c>
      <c r="D28" s="78" t="s">
        <v>209</v>
      </c>
      <c r="E28" s="78" t="s">
        <v>210</v>
      </c>
    </row>
    <row r="29" customFormat="false" ht="15" hidden="false" customHeight="true" outlineLevel="0" collapsed="false">
      <c r="A29" s="79" t="s">
        <v>640</v>
      </c>
      <c r="B29" s="113" t="n">
        <v>1</v>
      </c>
      <c r="C29" s="79" t="s">
        <v>641</v>
      </c>
      <c r="D29" s="92" t="n">
        <v>250</v>
      </c>
      <c r="E29" s="106" t="n">
        <f aca="false">B29*D29</f>
        <v>250</v>
      </c>
    </row>
    <row r="30" customFormat="false" ht="15" hidden="false" customHeight="true" outlineLevel="0" collapsed="false">
      <c r="A30" s="79" t="s">
        <v>642</v>
      </c>
      <c r="B30" s="113" t="n">
        <v>1</v>
      </c>
      <c r="C30" s="79" t="s">
        <v>641</v>
      </c>
      <c r="D30" s="92" t="n">
        <v>60</v>
      </c>
      <c r="E30" s="106" t="n">
        <f aca="false">B30*D30</f>
        <v>60</v>
      </c>
    </row>
    <row r="31" customFormat="false" ht="15" hidden="false" customHeight="true" outlineLevel="0" collapsed="false">
      <c r="A31" s="79" t="s">
        <v>643</v>
      </c>
      <c r="B31" s="113" t="n">
        <v>1</v>
      </c>
      <c r="C31" s="79" t="s">
        <v>641</v>
      </c>
      <c r="D31" s="92" t="n">
        <v>90</v>
      </c>
      <c r="E31" s="106" t="n">
        <f aca="false">B31*D31</f>
        <v>90</v>
      </c>
    </row>
    <row r="32" customFormat="false" ht="15" hidden="false" customHeight="true" outlineLevel="0" collapsed="false">
      <c r="B32" s="103" t="s">
        <v>644</v>
      </c>
      <c r="E32" s="108" t="n">
        <f aca="false">SUM(E29:E31)</f>
        <v>400</v>
      </c>
    </row>
    <row r="34" customFormat="false" ht="15" hidden="false" customHeight="true" outlineLevel="0" collapsed="false">
      <c r="A34" s="86" t="s">
        <v>384</v>
      </c>
      <c r="B34" s="86" t="s">
        <v>645</v>
      </c>
      <c r="C34" s="87"/>
      <c r="D34" s="87"/>
      <c r="E34" s="87"/>
    </row>
    <row r="35" customFormat="false" ht="15" hidden="false" customHeight="true" outlineLevel="0" collapsed="false">
      <c r="A35" s="78" t="s">
        <v>620</v>
      </c>
      <c r="B35" s="78" t="s">
        <v>367</v>
      </c>
      <c r="C35" s="78" t="s">
        <v>34</v>
      </c>
      <c r="D35" s="78" t="s">
        <v>209</v>
      </c>
      <c r="E35" s="78" t="s">
        <v>210</v>
      </c>
    </row>
    <row r="36" customFormat="false" ht="15" hidden="false" customHeight="true" outlineLevel="0" collapsed="false">
      <c r="A36" s="79" t="s">
        <v>646</v>
      </c>
      <c r="B36" s="113" t="n">
        <v>1</v>
      </c>
      <c r="C36" s="79" t="s">
        <v>343</v>
      </c>
      <c r="D36" s="92" t="n">
        <v>500</v>
      </c>
      <c r="E36" s="106" t="n">
        <f aca="false">B36*D36</f>
        <v>500</v>
      </c>
    </row>
    <row r="37" customFormat="false" ht="15" hidden="false" customHeight="true" outlineLevel="0" collapsed="false">
      <c r="A37" s="79" t="s">
        <v>647</v>
      </c>
      <c r="B37" s="113" t="n">
        <v>1</v>
      </c>
      <c r="C37" s="79" t="s">
        <v>102</v>
      </c>
      <c r="D37" s="92" t="n">
        <v>300</v>
      </c>
      <c r="E37" s="106" t="n">
        <f aca="false">B37*D37</f>
        <v>300</v>
      </c>
    </row>
    <row r="38" customFormat="false" ht="15" hidden="false" customHeight="true" outlineLevel="0" collapsed="false">
      <c r="B38" s="103" t="s">
        <v>648</v>
      </c>
      <c r="E38" s="108" t="n">
        <f aca="false">SUM(E36:E37)</f>
        <v>800</v>
      </c>
    </row>
    <row r="40" customFormat="false" ht="15" hidden="false" customHeight="true" outlineLevel="0" collapsed="false">
      <c r="A40" s="86" t="s">
        <v>387</v>
      </c>
      <c r="B40" s="86" t="s">
        <v>649</v>
      </c>
      <c r="C40" s="87"/>
      <c r="D40" s="87"/>
      <c r="E40" s="87"/>
    </row>
    <row r="41" customFormat="false" ht="15" hidden="false" customHeight="true" outlineLevel="0" collapsed="false">
      <c r="A41" s="78" t="s">
        <v>620</v>
      </c>
      <c r="B41" s="78" t="s">
        <v>367</v>
      </c>
      <c r="C41" s="78" t="s">
        <v>34</v>
      </c>
      <c r="D41" s="78" t="s">
        <v>209</v>
      </c>
      <c r="E41" s="78" t="s">
        <v>210</v>
      </c>
    </row>
    <row r="42" customFormat="false" ht="15" hidden="false" customHeight="true" outlineLevel="0" collapsed="false">
      <c r="A42" s="79" t="s">
        <v>650</v>
      </c>
      <c r="B42" s="113" t="n">
        <v>60</v>
      </c>
      <c r="C42" s="79" t="s">
        <v>625</v>
      </c>
      <c r="D42" s="92" t="n">
        <v>15</v>
      </c>
      <c r="E42" s="106" t="n">
        <f aca="false">B42*D42</f>
        <v>900</v>
      </c>
    </row>
    <row r="43" customFormat="false" ht="15" hidden="false" customHeight="true" outlineLevel="0" collapsed="false">
      <c r="A43" s="79" t="s">
        <v>651</v>
      </c>
      <c r="B43" s="113" t="n">
        <v>6</v>
      </c>
      <c r="C43" s="79" t="s">
        <v>343</v>
      </c>
      <c r="D43" s="92" t="n">
        <v>250</v>
      </c>
      <c r="E43" s="106" t="n">
        <f aca="false">B43*D43</f>
        <v>1500</v>
      </c>
    </row>
    <row r="44" customFormat="false" ht="15" hidden="false" customHeight="true" outlineLevel="0" collapsed="false">
      <c r="A44" s="79" t="s">
        <v>652</v>
      </c>
      <c r="B44" s="113" t="n">
        <v>1</v>
      </c>
      <c r="C44" s="79" t="s">
        <v>102</v>
      </c>
      <c r="D44" s="92" t="n">
        <v>600</v>
      </c>
      <c r="E44" s="106" t="n">
        <f aca="false">B44*D44</f>
        <v>600</v>
      </c>
    </row>
    <row r="45" customFormat="false" ht="15" hidden="false" customHeight="true" outlineLevel="0" collapsed="false">
      <c r="B45" s="103" t="s">
        <v>653</v>
      </c>
      <c r="E45" s="108" t="n">
        <f aca="false">SUM(E42:E44)</f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46"/>
    <col collapsed="false" customWidth="true" hidden="false" outlineLevel="0" max="2" min="2" style="10" width="10"/>
    <col collapsed="false" customWidth="true" hidden="false" outlineLevel="0" max="3" min="3" style="10" width="9"/>
    <col collapsed="false" customWidth="true" hidden="false" outlineLevel="0" max="4" min="4" style="10" width="11"/>
    <col collapsed="false" customWidth="true" hidden="false" outlineLevel="0" max="5" min="5" style="10" width="12"/>
  </cols>
  <sheetData>
    <row r="1" customFormat="false" ht="17.25" hidden="false" customHeight="true" outlineLevel="0" collapsed="false">
      <c r="A1" s="76" t="s">
        <v>654</v>
      </c>
    </row>
    <row r="2" customFormat="false" ht="15" hidden="false" customHeight="true" outlineLevel="0" collapsed="false">
      <c r="A2" s="77" t="s">
        <v>618</v>
      </c>
    </row>
    <row r="4" customFormat="false" ht="15" hidden="false" customHeight="true" outlineLevel="0" collapsed="false">
      <c r="A4" s="86" t="s">
        <v>392</v>
      </c>
      <c r="B4" s="86" t="s">
        <v>655</v>
      </c>
      <c r="C4" s="87"/>
      <c r="D4" s="87"/>
      <c r="E4" s="87"/>
    </row>
    <row r="5" customFormat="false" ht="15" hidden="false" customHeight="true" outlineLevel="0" collapsed="false">
      <c r="A5" s="78" t="s">
        <v>620</v>
      </c>
      <c r="B5" s="78" t="s">
        <v>367</v>
      </c>
      <c r="C5" s="78" t="s">
        <v>34</v>
      </c>
      <c r="D5" s="78" t="s">
        <v>209</v>
      </c>
      <c r="E5" s="78" t="s">
        <v>210</v>
      </c>
    </row>
    <row r="6" customFormat="false" ht="15" hidden="false" customHeight="true" outlineLevel="0" collapsed="false">
      <c r="A6" s="79" t="s">
        <v>656</v>
      </c>
      <c r="B6" s="114" t="n">
        <f aca="false">'Site Data'!C5</f>
        <v>130</v>
      </c>
      <c r="C6" s="79" t="s">
        <v>39</v>
      </c>
      <c r="D6" s="92" t="n">
        <v>55</v>
      </c>
      <c r="E6" s="106" t="n">
        <f aca="false">B6*D6</f>
        <v>7150</v>
      </c>
    </row>
    <row r="7" customFormat="false" ht="15" hidden="false" customHeight="true" outlineLevel="0" collapsed="false">
      <c r="A7" s="79" t="s">
        <v>657</v>
      </c>
      <c r="B7" s="113" t="n">
        <v>2</v>
      </c>
      <c r="C7" s="79" t="s">
        <v>343</v>
      </c>
      <c r="D7" s="92" t="n">
        <v>400</v>
      </c>
      <c r="E7" s="106" t="n">
        <f aca="false">B7*D7</f>
        <v>800</v>
      </c>
    </row>
    <row r="8" customFormat="false" ht="15" hidden="false" customHeight="true" outlineLevel="0" collapsed="false">
      <c r="B8" s="103" t="s">
        <v>658</v>
      </c>
      <c r="E8" s="108" t="n">
        <f aca="false">SUM(E6:E7)</f>
        <v>7950</v>
      </c>
    </row>
    <row r="10" customFormat="false" ht="15" hidden="false" customHeight="true" outlineLevel="0" collapsed="false">
      <c r="A10" s="86" t="s">
        <v>395</v>
      </c>
      <c r="B10" s="86" t="s">
        <v>659</v>
      </c>
      <c r="C10" s="87"/>
      <c r="D10" s="87"/>
      <c r="E10" s="87"/>
    </row>
    <row r="11" customFormat="false" ht="15" hidden="false" customHeight="true" outlineLevel="0" collapsed="false">
      <c r="A11" s="78" t="s">
        <v>620</v>
      </c>
      <c r="B11" s="78" t="s">
        <v>367</v>
      </c>
      <c r="C11" s="78" t="s">
        <v>34</v>
      </c>
      <c r="D11" s="78" t="s">
        <v>209</v>
      </c>
      <c r="E11" s="78" t="s">
        <v>210</v>
      </c>
    </row>
    <row r="12" customFormat="false" ht="15" hidden="false" customHeight="true" outlineLevel="0" collapsed="false">
      <c r="A12" s="79" t="s">
        <v>660</v>
      </c>
      <c r="B12" s="113" t="n">
        <v>1</v>
      </c>
      <c r="C12" s="79" t="s">
        <v>39</v>
      </c>
      <c r="D12" s="92" t="n">
        <v>140</v>
      </c>
      <c r="E12" s="106" t="n">
        <f aca="false">B12*D12</f>
        <v>140</v>
      </c>
    </row>
    <row r="13" customFormat="false" ht="15" hidden="false" customHeight="true" outlineLevel="0" collapsed="false">
      <c r="A13" s="79" t="s">
        <v>661</v>
      </c>
      <c r="B13" s="113" t="n">
        <v>4</v>
      </c>
      <c r="C13" s="79" t="s">
        <v>662</v>
      </c>
      <c r="D13" s="92" t="n">
        <v>10</v>
      </c>
      <c r="E13" s="106" t="n">
        <f aca="false">B13*D13</f>
        <v>40</v>
      </c>
    </row>
    <row r="14" customFormat="false" ht="15" hidden="false" customHeight="true" outlineLevel="0" collapsed="false">
      <c r="B14" s="103" t="s">
        <v>663</v>
      </c>
      <c r="E14" s="108" t="n">
        <f aca="false">SUM(E12:E13)</f>
        <v>180</v>
      </c>
    </row>
    <row r="16" customFormat="false" ht="15" hidden="false" customHeight="true" outlineLevel="0" collapsed="false">
      <c r="A16" s="86" t="s">
        <v>398</v>
      </c>
      <c r="B16" s="86" t="s">
        <v>664</v>
      </c>
      <c r="C16" s="87"/>
      <c r="D16" s="87"/>
      <c r="E16" s="87"/>
    </row>
    <row r="17" customFormat="false" ht="15" hidden="false" customHeight="true" outlineLevel="0" collapsed="false">
      <c r="A17" s="78" t="s">
        <v>620</v>
      </c>
      <c r="B17" s="78" t="s">
        <v>367</v>
      </c>
      <c r="C17" s="78" t="s">
        <v>34</v>
      </c>
      <c r="D17" s="78" t="s">
        <v>209</v>
      </c>
      <c r="E17" s="78" t="s">
        <v>210</v>
      </c>
    </row>
    <row r="18" customFormat="false" ht="15" hidden="false" customHeight="true" outlineLevel="0" collapsed="false">
      <c r="A18" s="79" t="s">
        <v>665</v>
      </c>
      <c r="B18" s="113" t="n">
        <v>1400</v>
      </c>
      <c r="C18" s="79" t="s">
        <v>45</v>
      </c>
      <c r="D18" s="92" t="n">
        <v>4</v>
      </c>
      <c r="E18" s="106" t="n">
        <f aca="false">B18*D18</f>
        <v>5600</v>
      </c>
    </row>
    <row r="19" customFormat="false" ht="15" hidden="false" customHeight="true" outlineLevel="0" collapsed="false">
      <c r="A19" s="79" t="s">
        <v>666</v>
      </c>
      <c r="B19" s="113" t="n">
        <v>1</v>
      </c>
      <c r="C19" s="79" t="s">
        <v>102</v>
      </c>
      <c r="D19" s="92" t="n">
        <v>400</v>
      </c>
      <c r="E19" s="106" t="n">
        <f aca="false">B19*D19</f>
        <v>400</v>
      </c>
    </row>
    <row r="20" customFormat="false" ht="15" hidden="false" customHeight="true" outlineLevel="0" collapsed="false">
      <c r="B20" s="103" t="s">
        <v>667</v>
      </c>
      <c r="E20" s="108" t="n">
        <f aca="false">SUM(E18:E19)</f>
        <v>6000</v>
      </c>
    </row>
    <row r="22" customFormat="false" ht="15" hidden="false" customHeight="true" outlineLevel="0" collapsed="false">
      <c r="A22" s="86" t="s">
        <v>401</v>
      </c>
      <c r="B22" s="86" t="s">
        <v>668</v>
      </c>
      <c r="C22" s="87"/>
      <c r="D22" s="87"/>
      <c r="E22" s="87"/>
    </row>
    <row r="23" customFormat="false" ht="15" hidden="false" customHeight="true" outlineLevel="0" collapsed="false">
      <c r="A23" s="78" t="s">
        <v>620</v>
      </c>
      <c r="B23" s="78" t="s">
        <v>367</v>
      </c>
      <c r="C23" s="78" t="s">
        <v>34</v>
      </c>
      <c r="D23" s="78" t="s">
        <v>209</v>
      </c>
      <c r="E23" s="78" t="s">
        <v>210</v>
      </c>
    </row>
    <row r="24" customFormat="false" ht="15" hidden="false" customHeight="true" outlineLevel="0" collapsed="false">
      <c r="A24" s="79" t="s">
        <v>669</v>
      </c>
      <c r="B24" s="114" t="n">
        <f aca="false">'Site Data'!C7</f>
        <v>115</v>
      </c>
      <c r="C24" s="79" t="s">
        <v>39</v>
      </c>
      <c r="D24" s="92" t="n">
        <v>5</v>
      </c>
      <c r="E24" s="106" t="n">
        <f aca="false">B24*D24</f>
        <v>575</v>
      </c>
    </row>
    <row r="25" customFormat="false" ht="15" hidden="false" customHeight="true" outlineLevel="0" collapsed="false">
      <c r="A25" s="79" t="s">
        <v>670</v>
      </c>
      <c r="B25" s="113" t="n">
        <v>1</v>
      </c>
      <c r="C25" s="79" t="s">
        <v>671</v>
      </c>
      <c r="D25" s="92" t="n">
        <v>125</v>
      </c>
      <c r="E25" s="106" t="n">
        <f aca="false">B25*D25</f>
        <v>125</v>
      </c>
    </row>
    <row r="26" customFormat="false" ht="15" hidden="false" customHeight="true" outlineLevel="0" collapsed="false">
      <c r="B26" s="103" t="s">
        <v>672</v>
      </c>
      <c r="E26" s="108" t="n">
        <f aca="false">SUM(E24:E25)</f>
        <v>700</v>
      </c>
    </row>
    <row r="28" customFormat="false" ht="15" hidden="false" customHeight="true" outlineLevel="0" collapsed="false">
      <c r="A28" s="86" t="s">
        <v>404</v>
      </c>
      <c r="B28" s="86" t="s">
        <v>673</v>
      </c>
      <c r="C28" s="87"/>
      <c r="D28" s="87"/>
      <c r="E28" s="87"/>
    </row>
    <row r="29" customFormat="false" ht="15" hidden="false" customHeight="true" outlineLevel="0" collapsed="false">
      <c r="A29" s="78" t="s">
        <v>620</v>
      </c>
      <c r="B29" s="78" t="s">
        <v>367</v>
      </c>
      <c r="C29" s="78" t="s">
        <v>34</v>
      </c>
      <c r="D29" s="78" t="s">
        <v>209</v>
      </c>
      <c r="E29" s="78" t="s">
        <v>210</v>
      </c>
    </row>
    <row r="30" customFormat="false" ht="15" hidden="false" customHeight="true" outlineLevel="0" collapsed="false">
      <c r="A30" s="79" t="s">
        <v>674</v>
      </c>
      <c r="B30" s="113" t="n">
        <v>600</v>
      </c>
      <c r="C30" s="79" t="s">
        <v>45</v>
      </c>
      <c r="D30" s="92" t="n">
        <v>5</v>
      </c>
      <c r="E30" s="106" t="n">
        <f aca="false">B30*D30</f>
        <v>3000</v>
      </c>
    </row>
    <row r="31" customFormat="false" ht="15" hidden="false" customHeight="true" outlineLevel="0" collapsed="false">
      <c r="A31" s="79" t="s">
        <v>675</v>
      </c>
      <c r="B31" s="113" t="n">
        <v>1</v>
      </c>
      <c r="C31" s="79" t="s">
        <v>102</v>
      </c>
      <c r="D31" s="92" t="n">
        <v>1000</v>
      </c>
      <c r="E31" s="106" t="n">
        <f aca="false">B31*D31</f>
        <v>1000</v>
      </c>
    </row>
    <row r="32" customFormat="false" ht="15" hidden="false" customHeight="true" outlineLevel="0" collapsed="false">
      <c r="B32" s="103" t="s">
        <v>676</v>
      </c>
      <c r="E32" s="108" t="n">
        <f aca="false">SUM(E30:E31)</f>
        <v>4000</v>
      </c>
    </row>
    <row r="34" customFormat="false" ht="15" hidden="false" customHeight="true" outlineLevel="0" collapsed="false">
      <c r="A34" s="86" t="s">
        <v>407</v>
      </c>
      <c r="B34" s="86" t="s">
        <v>677</v>
      </c>
      <c r="C34" s="87"/>
      <c r="D34" s="87"/>
      <c r="E34" s="87"/>
    </row>
    <row r="35" customFormat="false" ht="15" hidden="false" customHeight="true" outlineLevel="0" collapsed="false">
      <c r="A35" s="78" t="s">
        <v>620</v>
      </c>
      <c r="B35" s="78" t="s">
        <v>367</v>
      </c>
      <c r="C35" s="78" t="s">
        <v>34</v>
      </c>
      <c r="D35" s="78" t="s">
        <v>209</v>
      </c>
      <c r="E35" s="78" t="s">
        <v>210</v>
      </c>
    </row>
    <row r="36" customFormat="false" ht="15" hidden="false" customHeight="true" outlineLevel="0" collapsed="false">
      <c r="A36" s="79" t="s">
        <v>678</v>
      </c>
      <c r="B36" s="113" t="n">
        <v>2</v>
      </c>
      <c r="C36" s="79" t="s">
        <v>343</v>
      </c>
      <c r="D36" s="92" t="n">
        <v>60</v>
      </c>
      <c r="E36" s="106" t="n">
        <f aca="false">B36*D36</f>
        <v>120</v>
      </c>
    </row>
    <row r="37" customFormat="false" ht="15" hidden="false" customHeight="true" outlineLevel="0" collapsed="false">
      <c r="A37" s="79" t="s">
        <v>679</v>
      </c>
      <c r="B37" s="113" t="n">
        <v>1</v>
      </c>
      <c r="C37" s="79" t="s">
        <v>641</v>
      </c>
      <c r="D37" s="92" t="n">
        <v>80</v>
      </c>
      <c r="E37" s="106" t="n">
        <f aca="false">B37*D37</f>
        <v>80</v>
      </c>
    </row>
    <row r="38" customFormat="false" ht="15" hidden="false" customHeight="true" outlineLevel="0" collapsed="false">
      <c r="A38" s="79" t="s">
        <v>680</v>
      </c>
      <c r="B38" s="113" t="n">
        <v>1</v>
      </c>
      <c r="C38" s="79" t="s">
        <v>641</v>
      </c>
      <c r="D38" s="92" t="n">
        <v>50</v>
      </c>
      <c r="E38" s="106" t="n">
        <f aca="false">B38*D38</f>
        <v>50</v>
      </c>
    </row>
    <row r="39" customFormat="false" ht="15" hidden="false" customHeight="true" outlineLevel="0" collapsed="false">
      <c r="B39" s="103" t="s">
        <v>681</v>
      </c>
      <c r="E39" s="108" t="n">
        <f aca="false">SUM(E36:E38)</f>
        <v>250</v>
      </c>
    </row>
    <row r="41" customFormat="false" ht="15" hidden="false" customHeight="true" outlineLevel="0" collapsed="false">
      <c r="A41" s="86" t="s">
        <v>410</v>
      </c>
      <c r="B41" s="86" t="s">
        <v>682</v>
      </c>
      <c r="C41" s="87"/>
      <c r="D41" s="87"/>
      <c r="E41" s="87"/>
    </row>
    <row r="42" customFormat="false" ht="15" hidden="false" customHeight="true" outlineLevel="0" collapsed="false">
      <c r="A42" s="78" t="s">
        <v>620</v>
      </c>
      <c r="B42" s="78" t="s">
        <v>367</v>
      </c>
      <c r="C42" s="78" t="s">
        <v>34</v>
      </c>
      <c r="D42" s="78" t="s">
        <v>209</v>
      </c>
      <c r="E42" s="78" t="s">
        <v>210</v>
      </c>
    </row>
    <row r="43" customFormat="false" ht="15" hidden="false" customHeight="true" outlineLevel="0" collapsed="false">
      <c r="A43" s="79" t="s">
        <v>683</v>
      </c>
      <c r="B43" s="113" t="n">
        <v>2</v>
      </c>
      <c r="C43" s="79" t="s">
        <v>343</v>
      </c>
      <c r="D43" s="92" t="n">
        <v>150</v>
      </c>
      <c r="E43" s="106" t="n">
        <f aca="false">B43*D43</f>
        <v>300</v>
      </c>
    </row>
    <row r="44" customFormat="false" ht="15" hidden="false" customHeight="true" outlineLevel="0" collapsed="false">
      <c r="A44" s="79" t="s">
        <v>684</v>
      </c>
      <c r="B44" s="113" t="n">
        <v>1</v>
      </c>
      <c r="C44" s="79" t="s">
        <v>641</v>
      </c>
      <c r="D44" s="92" t="n">
        <v>300</v>
      </c>
      <c r="E44" s="106" t="n">
        <f aca="false">B44*D44</f>
        <v>300</v>
      </c>
    </row>
    <row r="45" customFormat="false" ht="15" hidden="false" customHeight="true" outlineLevel="0" collapsed="false">
      <c r="A45" s="79" t="s">
        <v>685</v>
      </c>
      <c r="B45" s="113" t="n">
        <v>1</v>
      </c>
      <c r="C45" s="79" t="s">
        <v>641</v>
      </c>
      <c r="D45" s="92" t="n">
        <v>300</v>
      </c>
      <c r="E45" s="106" t="n">
        <f aca="false">B45*D45</f>
        <v>300</v>
      </c>
    </row>
    <row r="46" customFormat="false" ht="15" hidden="false" customHeight="true" outlineLevel="0" collapsed="false">
      <c r="B46" s="103" t="s">
        <v>686</v>
      </c>
      <c r="E46" s="108" t="n">
        <f aca="false">SUM(E43:E45)</f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46"/>
    <col collapsed="false" customWidth="true" hidden="false" outlineLevel="0" max="2" min="2" style="10" width="10"/>
    <col collapsed="false" customWidth="true" hidden="false" outlineLevel="0" max="3" min="3" style="10" width="9"/>
    <col collapsed="false" customWidth="true" hidden="false" outlineLevel="0" max="4" min="4" style="10" width="11"/>
    <col collapsed="false" customWidth="true" hidden="false" outlineLevel="0" max="5" min="5" style="10" width="12"/>
  </cols>
  <sheetData>
    <row r="1" customFormat="false" ht="17.25" hidden="false" customHeight="true" outlineLevel="0" collapsed="false">
      <c r="A1" s="76" t="s">
        <v>687</v>
      </c>
    </row>
    <row r="2" customFormat="false" ht="15" hidden="false" customHeight="true" outlineLevel="0" collapsed="false">
      <c r="A2" s="77" t="s">
        <v>618</v>
      </c>
    </row>
    <row r="4" customFormat="false" ht="15" hidden="false" customHeight="true" outlineLevel="0" collapsed="false">
      <c r="A4" s="86" t="s">
        <v>218</v>
      </c>
      <c r="B4" s="86" t="s">
        <v>688</v>
      </c>
      <c r="C4" s="87"/>
      <c r="D4" s="87"/>
      <c r="E4" s="87"/>
    </row>
    <row r="5" customFormat="false" ht="15" hidden="false" customHeight="true" outlineLevel="0" collapsed="false">
      <c r="A5" s="78" t="s">
        <v>620</v>
      </c>
      <c r="B5" s="78" t="s">
        <v>367</v>
      </c>
      <c r="C5" s="78" t="s">
        <v>34</v>
      </c>
      <c r="D5" s="78" t="s">
        <v>209</v>
      </c>
      <c r="E5" s="78" t="s">
        <v>210</v>
      </c>
    </row>
    <row r="6" customFormat="false" ht="15" hidden="false" customHeight="true" outlineLevel="0" collapsed="false">
      <c r="A6" s="79" t="s">
        <v>689</v>
      </c>
      <c r="B6" s="113" t="n">
        <v>3</v>
      </c>
      <c r="C6" s="79" t="s">
        <v>343</v>
      </c>
      <c r="D6" s="92" t="n">
        <v>250</v>
      </c>
      <c r="E6" s="106" t="n">
        <f aca="false">B6*D6</f>
        <v>750</v>
      </c>
    </row>
    <row r="7" customFormat="false" ht="15" hidden="false" customHeight="true" outlineLevel="0" collapsed="false">
      <c r="A7" s="79" t="s">
        <v>690</v>
      </c>
      <c r="B7" s="113" t="n">
        <v>1</v>
      </c>
      <c r="C7" s="79" t="s">
        <v>343</v>
      </c>
      <c r="D7" s="92" t="n">
        <v>150</v>
      </c>
      <c r="E7" s="106" t="n">
        <f aca="false">B7*D7</f>
        <v>150</v>
      </c>
    </row>
    <row r="8" customFormat="false" ht="15" hidden="false" customHeight="true" outlineLevel="0" collapsed="false">
      <c r="A8" s="79" t="s">
        <v>691</v>
      </c>
      <c r="B8" s="113" t="n">
        <v>1</v>
      </c>
      <c r="C8" s="79" t="s">
        <v>641</v>
      </c>
      <c r="D8" s="92" t="n">
        <v>200</v>
      </c>
      <c r="E8" s="106" t="n">
        <f aca="false">B8*D8</f>
        <v>200</v>
      </c>
    </row>
    <row r="9" customFormat="false" ht="15" hidden="false" customHeight="true" outlineLevel="0" collapsed="false">
      <c r="A9" s="79" t="s">
        <v>692</v>
      </c>
      <c r="B9" s="113" t="n">
        <v>1</v>
      </c>
      <c r="C9" s="79" t="s">
        <v>641</v>
      </c>
      <c r="D9" s="92" t="n">
        <v>100</v>
      </c>
      <c r="E9" s="106" t="n">
        <f aca="false">B9*D9</f>
        <v>100</v>
      </c>
    </row>
    <row r="10" customFormat="false" ht="15" hidden="false" customHeight="true" outlineLevel="0" collapsed="false">
      <c r="B10" s="103" t="s">
        <v>693</v>
      </c>
      <c r="E10" s="108" t="n">
        <f aca="false">SUM(E6:E9)</f>
        <v>1200</v>
      </c>
    </row>
    <row r="12" customFormat="false" ht="15" hidden="false" customHeight="true" outlineLevel="0" collapsed="false">
      <c r="A12" s="86" t="s">
        <v>416</v>
      </c>
      <c r="B12" s="86" t="s">
        <v>694</v>
      </c>
      <c r="C12" s="87"/>
      <c r="D12" s="87"/>
      <c r="E12" s="87"/>
    </row>
    <row r="13" customFormat="false" ht="15" hidden="false" customHeight="true" outlineLevel="0" collapsed="false">
      <c r="A13" s="78" t="s">
        <v>620</v>
      </c>
      <c r="B13" s="78" t="s">
        <v>367</v>
      </c>
      <c r="C13" s="78" t="s">
        <v>34</v>
      </c>
      <c r="D13" s="78" t="s">
        <v>209</v>
      </c>
      <c r="E13" s="78" t="s">
        <v>210</v>
      </c>
    </row>
    <row r="14" customFormat="false" ht="15" hidden="false" customHeight="true" outlineLevel="0" collapsed="false">
      <c r="A14" s="79" t="s">
        <v>695</v>
      </c>
      <c r="B14" s="113" t="n">
        <v>4</v>
      </c>
      <c r="C14" s="79" t="s">
        <v>343</v>
      </c>
      <c r="D14" s="92" t="n">
        <v>35</v>
      </c>
      <c r="E14" s="106" t="n">
        <f aca="false">B14*D14</f>
        <v>140</v>
      </c>
    </row>
    <row r="15" customFormat="false" ht="15" hidden="false" customHeight="true" outlineLevel="0" collapsed="false">
      <c r="A15" s="79" t="s">
        <v>696</v>
      </c>
      <c r="B15" s="113" t="n">
        <v>1</v>
      </c>
      <c r="C15" s="79" t="s">
        <v>641</v>
      </c>
      <c r="D15" s="92" t="n">
        <v>60</v>
      </c>
      <c r="E15" s="106" t="n">
        <f aca="false">B15*D15</f>
        <v>60</v>
      </c>
    </row>
    <row r="16" customFormat="false" ht="15" hidden="false" customHeight="true" outlineLevel="0" collapsed="false">
      <c r="B16" s="103" t="s">
        <v>697</v>
      </c>
      <c r="E16" s="108" t="n">
        <f aca="false">SUM(E14:E15)</f>
        <v>200</v>
      </c>
    </row>
    <row r="18" customFormat="false" ht="15" hidden="false" customHeight="true" outlineLevel="0" collapsed="false">
      <c r="A18" s="86" t="s">
        <v>419</v>
      </c>
      <c r="B18" s="86" t="s">
        <v>698</v>
      </c>
      <c r="C18" s="87"/>
      <c r="D18" s="87"/>
      <c r="E18" s="87"/>
    </row>
    <row r="19" customFormat="false" ht="15" hidden="false" customHeight="true" outlineLevel="0" collapsed="false">
      <c r="A19" s="78" t="s">
        <v>620</v>
      </c>
      <c r="B19" s="78" t="s">
        <v>367</v>
      </c>
      <c r="C19" s="78" t="s">
        <v>34</v>
      </c>
      <c r="D19" s="78" t="s">
        <v>209</v>
      </c>
      <c r="E19" s="78" t="s">
        <v>210</v>
      </c>
    </row>
    <row r="20" customFormat="false" ht="15" hidden="false" customHeight="true" outlineLevel="0" collapsed="false">
      <c r="A20" s="79" t="s">
        <v>699</v>
      </c>
      <c r="B20" s="113" t="n">
        <v>1</v>
      </c>
      <c r="C20" s="79" t="s">
        <v>102</v>
      </c>
      <c r="D20" s="92" t="n">
        <v>800</v>
      </c>
      <c r="E20" s="106" t="n">
        <f aca="false">B20*D20</f>
        <v>800</v>
      </c>
    </row>
    <row r="21" customFormat="false" ht="15" hidden="false" customHeight="true" outlineLevel="0" collapsed="false">
      <c r="A21" s="79" t="s">
        <v>700</v>
      </c>
      <c r="B21" s="113" t="n">
        <v>1</v>
      </c>
      <c r="C21" s="79" t="s">
        <v>102</v>
      </c>
      <c r="D21" s="92" t="n">
        <v>700</v>
      </c>
      <c r="E21" s="106" t="n">
        <f aca="false">B21*D21</f>
        <v>700</v>
      </c>
    </row>
    <row r="22" customFormat="false" ht="15" hidden="false" customHeight="true" outlineLevel="0" collapsed="false">
      <c r="B22" s="103" t="s">
        <v>701</v>
      </c>
      <c r="E22" s="108" t="n">
        <f aca="false">SUM(E20:E21)</f>
        <v>1500</v>
      </c>
    </row>
    <row r="24" customFormat="false" ht="15" hidden="false" customHeight="true" outlineLevel="0" collapsed="false">
      <c r="A24" s="86" t="s">
        <v>422</v>
      </c>
      <c r="B24" s="86" t="s">
        <v>702</v>
      </c>
      <c r="C24" s="87"/>
      <c r="D24" s="87"/>
      <c r="E24" s="87"/>
    </row>
    <row r="25" customFormat="false" ht="15" hidden="false" customHeight="true" outlineLevel="0" collapsed="false">
      <c r="A25" s="78" t="s">
        <v>620</v>
      </c>
      <c r="B25" s="78" t="s">
        <v>367</v>
      </c>
      <c r="C25" s="78" t="s">
        <v>34</v>
      </c>
      <c r="D25" s="78" t="s">
        <v>209</v>
      </c>
      <c r="E25" s="78" t="s">
        <v>210</v>
      </c>
    </row>
    <row r="26" customFormat="false" ht="15" hidden="false" customHeight="true" outlineLevel="0" collapsed="false">
      <c r="A26" s="79" t="s">
        <v>703</v>
      </c>
      <c r="B26" s="113" t="n">
        <v>1</v>
      </c>
      <c r="C26" s="79" t="s">
        <v>102</v>
      </c>
      <c r="D26" s="92" t="n">
        <v>4500</v>
      </c>
      <c r="E26" s="106" t="n">
        <f aca="false">B26*D26</f>
        <v>4500</v>
      </c>
    </row>
    <row r="27" customFormat="false" ht="15" hidden="false" customHeight="true" outlineLevel="0" collapsed="false">
      <c r="A27" s="79" t="s">
        <v>704</v>
      </c>
      <c r="B27" s="113" t="n">
        <v>1</v>
      </c>
      <c r="C27" s="79" t="s">
        <v>102</v>
      </c>
      <c r="D27" s="92" t="n">
        <v>1500</v>
      </c>
      <c r="E27" s="106" t="n">
        <f aca="false">B27*D27</f>
        <v>1500</v>
      </c>
    </row>
    <row r="28" customFormat="false" ht="15" hidden="false" customHeight="true" outlineLevel="0" collapsed="false">
      <c r="A28" s="79" t="s">
        <v>705</v>
      </c>
      <c r="B28" s="113" t="n">
        <v>1</v>
      </c>
      <c r="C28" s="79" t="s">
        <v>102</v>
      </c>
      <c r="D28" s="92" t="n">
        <v>500</v>
      </c>
      <c r="E28" s="106" t="n">
        <f aca="false">B28*D28</f>
        <v>500</v>
      </c>
    </row>
    <row r="29" customFormat="false" ht="15" hidden="false" customHeight="true" outlineLevel="0" collapsed="false">
      <c r="A29" s="79" t="s">
        <v>706</v>
      </c>
      <c r="B29" s="113" t="n">
        <v>18</v>
      </c>
      <c r="C29" s="79" t="s">
        <v>641</v>
      </c>
      <c r="D29" s="92" t="n">
        <v>200</v>
      </c>
      <c r="E29" s="106" t="n">
        <f aca="false">B29*D29</f>
        <v>3600</v>
      </c>
    </row>
    <row r="30" customFormat="false" ht="15" hidden="false" customHeight="true" outlineLevel="0" collapsed="false">
      <c r="B30" s="103" t="s">
        <v>707</v>
      </c>
      <c r="E30" s="108" t="n">
        <f aca="false">SUM(E26:E29)</f>
        <v>10100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46"/>
    <col collapsed="false" customWidth="true" hidden="false" outlineLevel="0" max="2" min="2" style="10" width="10"/>
    <col collapsed="false" customWidth="true" hidden="false" outlineLevel="0" max="3" min="3" style="10" width="9"/>
    <col collapsed="false" customWidth="true" hidden="false" outlineLevel="0" max="4" min="4" style="10" width="11"/>
    <col collapsed="false" customWidth="true" hidden="false" outlineLevel="0" max="5" min="5" style="10" width="12"/>
  </cols>
  <sheetData>
    <row r="1" customFormat="false" ht="17.25" hidden="false" customHeight="true" outlineLevel="0" collapsed="false">
      <c r="A1" s="76" t="s">
        <v>708</v>
      </c>
    </row>
    <row r="2" customFormat="false" ht="15" hidden="false" customHeight="true" outlineLevel="0" collapsed="false">
      <c r="A2" s="77" t="s">
        <v>618</v>
      </c>
    </row>
    <row r="4" customFormat="false" ht="15" hidden="false" customHeight="true" outlineLevel="0" collapsed="false">
      <c r="A4" s="86" t="s">
        <v>427</v>
      </c>
      <c r="B4" s="86" t="s">
        <v>709</v>
      </c>
      <c r="C4" s="87"/>
      <c r="D4" s="87"/>
      <c r="E4" s="87"/>
    </row>
    <row r="5" customFormat="false" ht="15" hidden="false" customHeight="true" outlineLevel="0" collapsed="false">
      <c r="A5" s="78" t="s">
        <v>620</v>
      </c>
      <c r="B5" s="78" t="s">
        <v>367</v>
      </c>
      <c r="C5" s="78" t="s">
        <v>34</v>
      </c>
      <c r="D5" s="78" t="s">
        <v>209</v>
      </c>
      <c r="E5" s="78" t="s">
        <v>210</v>
      </c>
    </row>
    <row r="6" customFormat="false" ht="15" hidden="false" customHeight="true" outlineLevel="0" collapsed="false">
      <c r="A6" s="79" t="s">
        <v>710</v>
      </c>
      <c r="B6" s="113" t="n">
        <v>26</v>
      </c>
      <c r="C6" s="79" t="s">
        <v>625</v>
      </c>
      <c r="D6" s="92" t="n">
        <v>12</v>
      </c>
      <c r="E6" s="106" t="n">
        <f aca="false">B6*D6</f>
        <v>312</v>
      </c>
    </row>
    <row r="7" customFormat="false" ht="15" hidden="false" customHeight="true" outlineLevel="0" collapsed="false">
      <c r="A7" s="79" t="s">
        <v>711</v>
      </c>
      <c r="B7" s="113" t="n">
        <v>2</v>
      </c>
      <c r="C7" s="79" t="s">
        <v>343</v>
      </c>
      <c r="D7" s="92" t="n">
        <v>120</v>
      </c>
      <c r="E7" s="106" t="n">
        <f aca="false">B7*D7</f>
        <v>240</v>
      </c>
    </row>
    <row r="8" customFormat="false" ht="15" hidden="false" customHeight="true" outlineLevel="0" collapsed="false">
      <c r="A8" s="79" t="s">
        <v>712</v>
      </c>
      <c r="B8" s="113" t="n">
        <v>1</v>
      </c>
      <c r="C8" s="79" t="s">
        <v>641</v>
      </c>
      <c r="D8" s="92" t="n">
        <v>50</v>
      </c>
      <c r="E8" s="106" t="n">
        <f aca="false">B8*D8</f>
        <v>50</v>
      </c>
    </row>
    <row r="9" customFormat="false" ht="15" hidden="false" customHeight="true" outlineLevel="0" collapsed="false">
      <c r="B9" s="103" t="s">
        <v>713</v>
      </c>
      <c r="E9" s="108" t="n">
        <f aca="false">SUM(E6:E8)</f>
        <v>602</v>
      </c>
    </row>
    <row r="11" customFormat="false" ht="15" hidden="false" customHeight="true" outlineLevel="0" collapsed="false">
      <c r="A11" s="86" t="s">
        <v>430</v>
      </c>
      <c r="B11" s="86" t="s">
        <v>714</v>
      </c>
      <c r="C11" s="87"/>
      <c r="D11" s="87"/>
      <c r="E11" s="87"/>
    </row>
    <row r="12" customFormat="false" ht="15" hidden="false" customHeight="true" outlineLevel="0" collapsed="false">
      <c r="A12" s="78" t="s">
        <v>620</v>
      </c>
      <c r="B12" s="78" t="s">
        <v>367</v>
      </c>
      <c r="C12" s="78" t="s">
        <v>34</v>
      </c>
      <c r="D12" s="78" t="s">
        <v>209</v>
      </c>
      <c r="E12" s="78" t="s">
        <v>210</v>
      </c>
    </row>
    <row r="13" customFormat="false" ht="15" hidden="false" customHeight="true" outlineLevel="0" collapsed="false">
      <c r="A13" s="79" t="s">
        <v>715</v>
      </c>
      <c r="B13" s="114" t="n">
        <f aca="false">'Site Data'!C16</f>
        <v>8000</v>
      </c>
      <c r="C13" s="79" t="s">
        <v>45</v>
      </c>
      <c r="D13" s="92" t="n">
        <v>0.35</v>
      </c>
      <c r="E13" s="106" t="n">
        <f aca="false">B13*D13</f>
        <v>2800</v>
      </c>
    </row>
    <row r="14" customFormat="false" ht="15" hidden="false" customHeight="true" outlineLevel="0" collapsed="false">
      <c r="A14" s="79" t="s">
        <v>716</v>
      </c>
      <c r="B14" s="113" t="n">
        <v>1</v>
      </c>
      <c r="C14" s="79" t="s">
        <v>102</v>
      </c>
      <c r="D14" s="92" t="n">
        <v>700</v>
      </c>
      <c r="E14" s="106" t="n">
        <f aca="false">B14*D14</f>
        <v>700</v>
      </c>
    </row>
    <row r="15" customFormat="false" ht="15" hidden="false" customHeight="true" outlineLevel="0" collapsed="false">
      <c r="B15" s="103" t="s">
        <v>717</v>
      </c>
      <c r="E15" s="108" t="n">
        <f aca="false">SUM(E13:E14)</f>
        <v>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46"/>
    <col collapsed="false" customWidth="true" hidden="false" outlineLevel="0" max="2" min="2" style="10" width="10"/>
    <col collapsed="false" customWidth="true" hidden="false" outlineLevel="0" max="3" min="3" style="10" width="9"/>
    <col collapsed="false" customWidth="true" hidden="false" outlineLevel="0" max="4" min="4" style="10" width="11"/>
    <col collapsed="false" customWidth="true" hidden="false" outlineLevel="0" max="5" min="5" style="10" width="12"/>
  </cols>
  <sheetData>
    <row r="1" customFormat="false" ht="17.25" hidden="false" customHeight="true" outlineLevel="0" collapsed="false">
      <c r="A1" s="76" t="s">
        <v>718</v>
      </c>
    </row>
    <row r="2" customFormat="false" ht="15" hidden="false" customHeight="true" outlineLevel="0" collapsed="false">
      <c r="A2" s="77" t="s">
        <v>618</v>
      </c>
    </row>
    <row r="4" customFormat="false" ht="15" hidden="false" customHeight="true" outlineLevel="0" collapsed="false">
      <c r="A4" s="86" t="s">
        <v>435</v>
      </c>
      <c r="B4" s="86" t="s">
        <v>719</v>
      </c>
      <c r="C4" s="87"/>
      <c r="D4" s="87"/>
      <c r="E4" s="87"/>
    </row>
    <row r="5" customFormat="false" ht="15" hidden="false" customHeight="true" outlineLevel="0" collapsed="false">
      <c r="A5" s="78" t="s">
        <v>620</v>
      </c>
      <c r="B5" s="78" t="s">
        <v>367</v>
      </c>
      <c r="C5" s="78" t="s">
        <v>34</v>
      </c>
      <c r="D5" s="78" t="s">
        <v>209</v>
      </c>
      <c r="E5" s="78" t="s">
        <v>210</v>
      </c>
    </row>
    <row r="6" customFormat="false" ht="15" hidden="false" customHeight="true" outlineLevel="0" collapsed="false">
      <c r="A6" s="79" t="s">
        <v>436</v>
      </c>
      <c r="B6" s="113" t="n">
        <v>1</v>
      </c>
      <c r="C6" s="79" t="s">
        <v>641</v>
      </c>
      <c r="D6" s="92" t="n">
        <v>2800</v>
      </c>
      <c r="E6" s="106" t="n">
        <f aca="false">B6*D6</f>
        <v>2800</v>
      </c>
    </row>
    <row r="7" customFormat="false" ht="15" hidden="false" customHeight="true" outlineLevel="0" collapsed="false">
      <c r="A7" s="79" t="s">
        <v>720</v>
      </c>
      <c r="B7" s="113" t="n">
        <v>1</v>
      </c>
      <c r="C7" s="79" t="s">
        <v>641</v>
      </c>
      <c r="D7" s="92" t="n">
        <v>600</v>
      </c>
      <c r="E7" s="106" t="n">
        <f aca="false">B7*D7</f>
        <v>600</v>
      </c>
    </row>
    <row r="8" customFormat="false" ht="15" hidden="false" customHeight="true" outlineLevel="0" collapsed="false">
      <c r="A8" s="79" t="s">
        <v>721</v>
      </c>
      <c r="B8" s="113" t="n">
        <v>1</v>
      </c>
      <c r="C8" s="79" t="s">
        <v>641</v>
      </c>
      <c r="D8" s="92" t="n">
        <v>100</v>
      </c>
      <c r="E8" s="106" t="n">
        <f aca="false">B8*D8</f>
        <v>100</v>
      </c>
    </row>
    <row r="9" customFormat="false" ht="15" hidden="false" customHeight="true" outlineLevel="0" collapsed="false">
      <c r="B9" s="103" t="s">
        <v>722</v>
      </c>
      <c r="E9" s="108" t="n">
        <f aca="false">SUM(E6:E8)</f>
        <v>3500</v>
      </c>
    </row>
    <row r="11" customFormat="false" ht="15" hidden="false" customHeight="true" outlineLevel="0" collapsed="false">
      <c r="A11" s="86" t="s">
        <v>438</v>
      </c>
      <c r="B11" s="86" t="s">
        <v>723</v>
      </c>
      <c r="C11" s="87"/>
      <c r="D11" s="87"/>
      <c r="E11" s="87"/>
    </row>
    <row r="12" customFormat="false" ht="15" hidden="false" customHeight="true" outlineLevel="0" collapsed="false">
      <c r="A12" s="78" t="s">
        <v>620</v>
      </c>
      <c r="B12" s="78" t="s">
        <v>367</v>
      </c>
      <c r="C12" s="78" t="s">
        <v>34</v>
      </c>
      <c r="D12" s="78" t="s">
        <v>209</v>
      </c>
      <c r="E12" s="78" t="s">
        <v>210</v>
      </c>
    </row>
    <row r="13" customFormat="false" ht="15" hidden="false" customHeight="true" outlineLevel="0" collapsed="false">
      <c r="A13" s="79" t="s">
        <v>724</v>
      </c>
      <c r="B13" s="113" t="n">
        <v>25</v>
      </c>
      <c r="C13" s="79" t="s">
        <v>47</v>
      </c>
      <c r="D13" s="92" t="n">
        <v>220</v>
      </c>
      <c r="E13" s="106" t="n">
        <f aca="false">B13*D13</f>
        <v>5500</v>
      </c>
    </row>
    <row r="14" customFormat="false" ht="15" hidden="false" customHeight="true" outlineLevel="0" collapsed="false">
      <c r="A14" s="79" t="s">
        <v>725</v>
      </c>
      <c r="B14" s="113" t="n">
        <v>1</v>
      </c>
      <c r="C14" s="79" t="s">
        <v>102</v>
      </c>
      <c r="D14" s="92" t="n">
        <v>6000</v>
      </c>
      <c r="E14" s="106" t="n">
        <f aca="false">B14*D14</f>
        <v>6000</v>
      </c>
    </row>
    <row r="15" customFormat="false" ht="15" hidden="false" customHeight="true" outlineLevel="0" collapsed="false">
      <c r="A15" s="79" t="s">
        <v>726</v>
      </c>
      <c r="B15" s="113" t="n">
        <v>1</v>
      </c>
      <c r="C15" s="79" t="s">
        <v>102</v>
      </c>
      <c r="D15" s="92" t="n">
        <v>4500</v>
      </c>
      <c r="E15" s="106" t="n">
        <f aca="false">B15*D15</f>
        <v>4500</v>
      </c>
    </row>
    <row r="16" customFormat="false" ht="15" hidden="false" customHeight="true" outlineLevel="0" collapsed="false">
      <c r="A16" s="79" t="s">
        <v>727</v>
      </c>
      <c r="B16" s="113" t="n">
        <v>1</v>
      </c>
      <c r="C16" s="79" t="s">
        <v>102</v>
      </c>
      <c r="D16" s="92" t="n">
        <v>2000</v>
      </c>
      <c r="E16" s="106" t="n">
        <f aca="false">B16*D16</f>
        <v>2000</v>
      </c>
    </row>
    <row r="17" customFormat="false" ht="15" hidden="false" customHeight="true" outlineLevel="0" collapsed="false">
      <c r="B17" s="103" t="s">
        <v>728</v>
      </c>
      <c r="E17" s="108" t="n">
        <f aca="false">SUM(E13:E16)</f>
        <v>18000</v>
      </c>
    </row>
    <row r="19" customFormat="false" ht="15" hidden="false" customHeight="true" outlineLevel="0" collapsed="false">
      <c r="A19" s="86" t="s">
        <v>441</v>
      </c>
      <c r="B19" s="86" t="s">
        <v>729</v>
      </c>
      <c r="C19" s="87"/>
      <c r="D19" s="87"/>
      <c r="E19" s="87"/>
    </row>
    <row r="20" customFormat="false" ht="15" hidden="false" customHeight="true" outlineLevel="0" collapsed="false">
      <c r="A20" s="78" t="s">
        <v>620</v>
      </c>
      <c r="B20" s="78" t="s">
        <v>367</v>
      </c>
      <c r="C20" s="78" t="s">
        <v>34</v>
      </c>
      <c r="D20" s="78" t="s">
        <v>209</v>
      </c>
      <c r="E20" s="78" t="s">
        <v>210</v>
      </c>
    </row>
    <row r="21" customFormat="false" ht="15" hidden="false" customHeight="true" outlineLevel="0" collapsed="false">
      <c r="A21" s="79" t="s">
        <v>730</v>
      </c>
      <c r="B21" s="113" t="n">
        <v>1</v>
      </c>
      <c r="C21" s="79" t="s">
        <v>641</v>
      </c>
      <c r="D21" s="92" t="n">
        <v>1200</v>
      </c>
      <c r="E21" s="106" t="n">
        <f aca="false">B21*D21</f>
        <v>1200</v>
      </c>
    </row>
    <row r="22" customFormat="false" ht="15" hidden="false" customHeight="true" outlineLevel="0" collapsed="false">
      <c r="A22" s="79" t="s">
        <v>731</v>
      </c>
      <c r="B22" s="113" t="n">
        <v>1</v>
      </c>
      <c r="C22" s="79" t="s">
        <v>641</v>
      </c>
      <c r="D22" s="92" t="n">
        <v>300</v>
      </c>
      <c r="E22" s="106" t="n">
        <f aca="false">B22*D22</f>
        <v>300</v>
      </c>
    </row>
    <row r="23" customFormat="false" ht="15" hidden="false" customHeight="true" outlineLevel="0" collapsed="false">
      <c r="B23" s="103" t="s">
        <v>732</v>
      </c>
      <c r="E23" s="108" t="n">
        <f aca="false">SUM(E21:E22)</f>
        <v>1500</v>
      </c>
    </row>
    <row r="25" customFormat="false" ht="15" hidden="false" customHeight="true" outlineLevel="0" collapsed="false">
      <c r="A25" s="86" t="s">
        <v>444</v>
      </c>
      <c r="B25" s="86" t="s">
        <v>733</v>
      </c>
      <c r="C25" s="87"/>
      <c r="D25" s="87"/>
      <c r="E25" s="87"/>
    </row>
    <row r="26" customFormat="false" ht="15" hidden="false" customHeight="true" outlineLevel="0" collapsed="false">
      <c r="A26" s="78" t="s">
        <v>620</v>
      </c>
      <c r="B26" s="78" t="s">
        <v>367</v>
      </c>
      <c r="C26" s="78" t="s">
        <v>34</v>
      </c>
      <c r="D26" s="78" t="s">
        <v>209</v>
      </c>
      <c r="E26" s="78" t="s">
        <v>210</v>
      </c>
    </row>
    <row r="27" customFormat="false" ht="15" hidden="false" customHeight="true" outlineLevel="0" collapsed="false">
      <c r="A27" s="79" t="s">
        <v>734</v>
      </c>
      <c r="B27" s="113" t="n">
        <v>1</v>
      </c>
      <c r="C27" s="79" t="s">
        <v>102</v>
      </c>
      <c r="D27" s="92" t="n">
        <v>2200</v>
      </c>
      <c r="E27" s="106" t="n">
        <f aca="false">B27*D27</f>
        <v>2200</v>
      </c>
    </row>
    <row r="28" customFormat="false" ht="15" hidden="false" customHeight="true" outlineLevel="0" collapsed="false">
      <c r="A28" s="79" t="s">
        <v>726</v>
      </c>
      <c r="B28" s="113" t="n">
        <v>1</v>
      </c>
      <c r="C28" s="79" t="s">
        <v>102</v>
      </c>
      <c r="D28" s="92" t="n">
        <v>1300</v>
      </c>
      <c r="E28" s="106" t="n">
        <f aca="false">B28*D28</f>
        <v>1300</v>
      </c>
    </row>
    <row r="29" customFormat="false" ht="15" hidden="false" customHeight="true" outlineLevel="0" collapsed="false">
      <c r="A29" s="79" t="s">
        <v>735</v>
      </c>
      <c r="B29" s="113" t="n">
        <v>1</v>
      </c>
      <c r="C29" s="79" t="s">
        <v>102</v>
      </c>
      <c r="D29" s="92" t="n">
        <v>500</v>
      </c>
      <c r="E29" s="106" t="n">
        <f aca="false">B29*D29</f>
        <v>500</v>
      </c>
    </row>
    <row r="30" customFormat="false" ht="15" hidden="false" customHeight="true" outlineLevel="0" collapsed="false">
      <c r="B30" s="103" t="s">
        <v>736</v>
      </c>
      <c r="E30" s="108" t="n">
        <f aca="false">SUM(E27:E29)</f>
        <v>4000</v>
      </c>
    </row>
    <row r="32" customFormat="false" ht="15" hidden="false" customHeight="true" outlineLevel="0" collapsed="false">
      <c r="A32" s="86" t="s">
        <v>231</v>
      </c>
      <c r="B32" s="86" t="s">
        <v>737</v>
      </c>
      <c r="C32" s="87"/>
      <c r="D32" s="87"/>
      <c r="E32" s="87"/>
    </row>
    <row r="33" customFormat="false" ht="15" hidden="false" customHeight="true" outlineLevel="0" collapsed="false">
      <c r="A33" s="78" t="s">
        <v>620</v>
      </c>
      <c r="B33" s="78" t="s">
        <v>367</v>
      </c>
      <c r="C33" s="78" t="s">
        <v>34</v>
      </c>
      <c r="D33" s="78" t="s">
        <v>209</v>
      </c>
      <c r="E33" s="78" t="s">
        <v>210</v>
      </c>
    </row>
    <row r="34" customFormat="false" ht="15" hidden="false" customHeight="true" outlineLevel="0" collapsed="false">
      <c r="A34" s="79" t="s">
        <v>738</v>
      </c>
      <c r="B34" s="113" t="n">
        <v>1</v>
      </c>
      <c r="C34" s="79" t="s">
        <v>45</v>
      </c>
      <c r="D34" s="92" t="n">
        <v>3</v>
      </c>
      <c r="E34" s="106" t="n">
        <f aca="false">B34*D34</f>
        <v>3</v>
      </c>
    </row>
    <row r="35" customFormat="false" ht="15" hidden="false" customHeight="true" outlineLevel="0" collapsed="false">
      <c r="A35" s="79" t="s">
        <v>739</v>
      </c>
      <c r="B35" s="114" t="n">
        <f aca="false">'Site Data'!C13</f>
        <v>12</v>
      </c>
      <c r="C35" s="79" t="s">
        <v>740</v>
      </c>
      <c r="D35" s="92" t="n">
        <v>0.35</v>
      </c>
      <c r="E35" s="106" t="n">
        <f aca="false">B35*D35</f>
        <v>4.2</v>
      </c>
    </row>
    <row r="36" customFormat="false" ht="15" hidden="false" customHeight="true" outlineLevel="0" collapsed="false">
      <c r="B36" s="103" t="s">
        <v>741</v>
      </c>
      <c r="E36" s="108" t="n">
        <f aca="false">SUM(E34:E35)</f>
        <v>7.2</v>
      </c>
    </row>
    <row r="38" customFormat="false" ht="15" hidden="false" customHeight="true" outlineLevel="0" collapsed="false">
      <c r="A38" s="86" t="s">
        <v>451</v>
      </c>
      <c r="B38" s="86" t="s">
        <v>742</v>
      </c>
      <c r="C38" s="87"/>
      <c r="D38" s="87"/>
      <c r="E38" s="87"/>
    </row>
    <row r="39" customFormat="false" ht="15" hidden="false" customHeight="true" outlineLevel="0" collapsed="false">
      <c r="A39" s="78" t="s">
        <v>620</v>
      </c>
      <c r="B39" s="78" t="s">
        <v>367</v>
      </c>
      <c r="C39" s="78" t="s">
        <v>34</v>
      </c>
      <c r="D39" s="78" t="s">
        <v>209</v>
      </c>
      <c r="E39" s="78" t="s">
        <v>210</v>
      </c>
    </row>
    <row r="40" customFormat="false" ht="15" hidden="false" customHeight="true" outlineLevel="0" collapsed="false">
      <c r="A40" s="79" t="s">
        <v>743</v>
      </c>
      <c r="B40" s="113" t="n">
        <v>800</v>
      </c>
      <c r="C40" s="79" t="s">
        <v>744</v>
      </c>
      <c r="D40" s="92" t="n">
        <v>1.2</v>
      </c>
      <c r="E40" s="106" t="n">
        <f aca="false">B40*D40</f>
        <v>960</v>
      </c>
    </row>
    <row r="41" customFormat="false" ht="15" hidden="false" customHeight="true" outlineLevel="0" collapsed="false">
      <c r="A41" s="79" t="s">
        <v>745</v>
      </c>
      <c r="B41" s="113" t="n">
        <v>20</v>
      </c>
      <c r="C41" s="79" t="s">
        <v>625</v>
      </c>
      <c r="D41" s="92" t="n">
        <v>12</v>
      </c>
      <c r="E41" s="106" t="n">
        <f aca="false">B41*D41</f>
        <v>240</v>
      </c>
    </row>
    <row r="42" customFormat="false" ht="15" hidden="false" customHeight="true" outlineLevel="0" collapsed="false">
      <c r="B42" s="103" t="s">
        <v>746</v>
      </c>
      <c r="E42" s="108" t="n">
        <f aca="false">SUM(E40:E41)</f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46"/>
    <col collapsed="false" customWidth="true" hidden="false" outlineLevel="0" max="2" min="2" style="10" width="10"/>
    <col collapsed="false" customWidth="true" hidden="false" outlineLevel="0" max="3" min="3" style="10" width="9"/>
    <col collapsed="false" customWidth="true" hidden="false" outlineLevel="0" max="4" min="4" style="10" width="11"/>
    <col collapsed="false" customWidth="true" hidden="false" outlineLevel="0" max="5" min="5" style="10" width="12"/>
  </cols>
  <sheetData>
    <row r="1" customFormat="false" ht="17.25" hidden="false" customHeight="true" outlineLevel="0" collapsed="false">
      <c r="A1" s="76" t="s">
        <v>747</v>
      </c>
    </row>
    <row r="2" customFormat="false" ht="15" hidden="false" customHeight="true" outlineLevel="0" collapsed="false">
      <c r="A2" s="77" t="s">
        <v>618</v>
      </c>
    </row>
    <row r="4" customFormat="false" ht="15" hidden="false" customHeight="true" outlineLevel="0" collapsed="false">
      <c r="A4" s="86" t="s">
        <v>456</v>
      </c>
      <c r="B4" s="86" t="s">
        <v>748</v>
      </c>
      <c r="C4" s="87"/>
      <c r="D4" s="87"/>
      <c r="E4" s="87"/>
    </row>
    <row r="5" customFormat="false" ht="15" hidden="false" customHeight="true" outlineLevel="0" collapsed="false">
      <c r="A5" s="78" t="s">
        <v>620</v>
      </c>
      <c r="B5" s="78" t="s">
        <v>367</v>
      </c>
      <c r="C5" s="78" t="s">
        <v>34</v>
      </c>
      <c r="D5" s="78" t="s">
        <v>209</v>
      </c>
      <c r="E5" s="78" t="s">
        <v>210</v>
      </c>
    </row>
    <row r="6" customFormat="false" ht="15" hidden="false" customHeight="true" outlineLevel="0" collapsed="false">
      <c r="A6" s="79" t="s">
        <v>749</v>
      </c>
      <c r="B6" s="113" t="n">
        <v>2</v>
      </c>
      <c r="C6" s="79" t="s">
        <v>343</v>
      </c>
      <c r="D6" s="92" t="n">
        <v>50</v>
      </c>
      <c r="E6" s="106" t="n">
        <f aca="false">B6*D6</f>
        <v>100</v>
      </c>
    </row>
    <row r="7" customFormat="false" ht="15" hidden="false" customHeight="true" outlineLevel="0" collapsed="false">
      <c r="A7" s="79" t="s">
        <v>750</v>
      </c>
      <c r="B7" s="113" t="n">
        <v>1</v>
      </c>
      <c r="C7" s="79" t="s">
        <v>641</v>
      </c>
      <c r="D7" s="92" t="n">
        <v>80</v>
      </c>
      <c r="E7" s="106" t="n">
        <f aca="false">B7*D7</f>
        <v>80</v>
      </c>
    </row>
    <row r="8" customFormat="false" ht="15" hidden="false" customHeight="true" outlineLevel="0" collapsed="false">
      <c r="A8" s="79" t="s">
        <v>751</v>
      </c>
      <c r="B8" s="113" t="n">
        <v>1</v>
      </c>
      <c r="C8" s="79" t="s">
        <v>641</v>
      </c>
      <c r="D8" s="92" t="n">
        <v>100</v>
      </c>
      <c r="E8" s="106" t="n">
        <f aca="false">B8*D8</f>
        <v>100</v>
      </c>
    </row>
    <row r="9" customFormat="false" ht="15" hidden="false" customHeight="true" outlineLevel="0" collapsed="false">
      <c r="A9" s="79" t="s">
        <v>752</v>
      </c>
      <c r="B9" s="113" t="n">
        <v>1</v>
      </c>
      <c r="C9" s="79" t="s">
        <v>641</v>
      </c>
      <c r="D9" s="92" t="n">
        <v>70</v>
      </c>
      <c r="E9" s="106" t="n">
        <f aca="false">B9*D9</f>
        <v>70</v>
      </c>
    </row>
    <row r="10" customFormat="false" ht="15" hidden="false" customHeight="true" outlineLevel="0" collapsed="false">
      <c r="B10" s="103" t="s">
        <v>753</v>
      </c>
      <c r="E10" s="108" t="n">
        <f aca="false">SUM(E6:E9)</f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46"/>
    <col collapsed="false" customWidth="true" hidden="false" outlineLevel="0" max="2" min="2" style="10" width="10"/>
    <col collapsed="false" customWidth="true" hidden="false" outlineLevel="0" max="3" min="3" style="10" width="9"/>
    <col collapsed="false" customWidth="true" hidden="false" outlineLevel="0" max="4" min="4" style="10" width="11"/>
    <col collapsed="false" customWidth="true" hidden="false" outlineLevel="0" max="5" min="5" style="10" width="12"/>
  </cols>
  <sheetData>
    <row r="1" customFormat="false" ht="17.25" hidden="false" customHeight="true" outlineLevel="0" collapsed="false">
      <c r="A1" s="76" t="s">
        <v>754</v>
      </c>
    </row>
    <row r="2" customFormat="false" ht="15" hidden="false" customHeight="true" outlineLevel="0" collapsed="false">
      <c r="A2" s="77" t="s">
        <v>618</v>
      </c>
    </row>
    <row r="4" customFormat="false" ht="15" hidden="false" customHeight="true" outlineLevel="0" collapsed="false">
      <c r="A4" s="86" t="s">
        <v>475</v>
      </c>
      <c r="B4" s="86" t="s">
        <v>755</v>
      </c>
      <c r="C4" s="87"/>
      <c r="D4" s="87"/>
      <c r="E4" s="87"/>
    </row>
    <row r="5" customFormat="false" ht="15" hidden="false" customHeight="true" outlineLevel="0" collapsed="false">
      <c r="A5" s="78" t="s">
        <v>620</v>
      </c>
      <c r="B5" s="78" t="s">
        <v>367</v>
      </c>
      <c r="C5" s="78" t="s">
        <v>34</v>
      </c>
      <c r="D5" s="78" t="s">
        <v>209</v>
      </c>
      <c r="E5" s="78" t="s">
        <v>210</v>
      </c>
    </row>
    <row r="6" customFormat="false" ht="15" hidden="false" customHeight="true" outlineLevel="0" collapsed="false">
      <c r="A6" s="79" t="s">
        <v>756</v>
      </c>
      <c r="B6" s="114" t="n">
        <f aca="false">'Site Data'!C14</f>
        <v>80</v>
      </c>
      <c r="C6" s="79" t="s">
        <v>757</v>
      </c>
      <c r="D6" s="92" t="n">
        <v>4</v>
      </c>
      <c r="E6" s="106" t="n">
        <f aca="false">B6*D6</f>
        <v>320</v>
      </c>
    </row>
    <row r="7" customFormat="false" ht="15" hidden="false" customHeight="true" outlineLevel="0" collapsed="false">
      <c r="A7" s="79" t="s">
        <v>758</v>
      </c>
      <c r="B7" s="113" t="n">
        <v>1</v>
      </c>
      <c r="C7" s="79" t="s">
        <v>641</v>
      </c>
      <c r="D7" s="92" t="n">
        <v>30</v>
      </c>
      <c r="E7" s="106" t="n">
        <f aca="false">B7*D7</f>
        <v>30</v>
      </c>
    </row>
    <row r="8" customFormat="false" ht="15" hidden="false" customHeight="true" outlineLevel="0" collapsed="false">
      <c r="A8" s="79" t="s">
        <v>759</v>
      </c>
      <c r="B8" s="113" t="n">
        <v>1</v>
      </c>
      <c r="C8" s="79" t="s">
        <v>641</v>
      </c>
      <c r="D8" s="92" t="n">
        <v>100</v>
      </c>
      <c r="E8" s="106" t="n">
        <f aca="false">B8*D8</f>
        <v>100</v>
      </c>
    </row>
    <row r="9" customFormat="false" ht="15" hidden="false" customHeight="true" outlineLevel="0" collapsed="false">
      <c r="A9" s="79" t="s">
        <v>760</v>
      </c>
      <c r="B9" s="113" t="n">
        <v>1</v>
      </c>
      <c r="C9" s="79" t="s">
        <v>641</v>
      </c>
      <c r="D9" s="92" t="n">
        <v>50</v>
      </c>
      <c r="E9" s="106" t="n">
        <f aca="false">B9*D9</f>
        <v>50</v>
      </c>
    </row>
    <row r="10" customFormat="false" ht="15" hidden="false" customHeight="true" outlineLevel="0" collapsed="false">
      <c r="B10" s="103" t="s">
        <v>761</v>
      </c>
      <c r="E10" s="108" t="n">
        <f aca="false">SUM(E6:E9)</f>
        <v>500</v>
      </c>
    </row>
    <row r="12" customFormat="false" ht="15" hidden="false" customHeight="true" outlineLevel="0" collapsed="false">
      <c r="A12" s="86" t="s">
        <v>478</v>
      </c>
      <c r="B12" s="86" t="s">
        <v>762</v>
      </c>
      <c r="C12" s="87"/>
      <c r="D12" s="87"/>
      <c r="E12" s="87"/>
    </row>
    <row r="13" customFormat="false" ht="15" hidden="false" customHeight="true" outlineLevel="0" collapsed="false">
      <c r="A13" s="78" t="s">
        <v>620</v>
      </c>
      <c r="B13" s="78" t="s">
        <v>367</v>
      </c>
      <c r="C13" s="78" t="s">
        <v>34</v>
      </c>
      <c r="D13" s="78" t="s">
        <v>209</v>
      </c>
      <c r="E13" s="78" t="s">
        <v>210</v>
      </c>
    </row>
    <row r="14" customFormat="false" ht="15" hidden="false" customHeight="true" outlineLevel="0" collapsed="false">
      <c r="A14" s="79" t="s">
        <v>763</v>
      </c>
      <c r="B14" s="113" t="n">
        <v>3</v>
      </c>
      <c r="C14" s="79" t="s">
        <v>343</v>
      </c>
      <c r="D14" s="92" t="n">
        <v>250</v>
      </c>
      <c r="E14" s="106" t="n">
        <f aca="false">B14*D14</f>
        <v>750</v>
      </c>
    </row>
    <row r="15" customFormat="false" ht="15" hidden="false" customHeight="true" outlineLevel="0" collapsed="false">
      <c r="A15" s="79" t="s">
        <v>764</v>
      </c>
      <c r="B15" s="113" t="n">
        <v>1</v>
      </c>
      <c r="C15" s="79" t="s">
        <v>641</v>
      </c>
      <c r="D15" s="92" t="n">
        <v>100</v>
      </c>
      <c r="E15" s="106" t="n">
        <f aca="false">B15*D15</f>
        <v>100</v>
      </c>
    </row>
    <row r="16" customFormat="false" ht="15" hidden="false" customHeight="true" outlineLevel="0" collapsed="false">
      <c r="A16" s="79" t="s">
        <v>765</v>
      </c>
      <c r="B16" s="113" t="n">
        <v>1</v>
      </c>
      <c r="C16" s="79" t="s">
        <v>641</v>
      </c>
      <c r="D16" s="92" t="n">
        <v>50</v>
      </c>
      <c r="E16" s="106" t="n">
        <f aca="false">B16*D16</f>
        <v>50</v>
      </c>
    </row>
    <row r="17" customFormat="false" ht="15" hidden="false" customHeight="true" outlineLevel="0" collapsed="false">
      <c r="B17" s="103" t="s">
        <v>766</v>
      </c>
      <c r="E17" s="108" t="n">
        <f aca="false">SUM(E14:E16)</f>
        <v>900</v>
      </c>
    </row>
    <row r="19" customFormat="false" ht="15" hidden="false" customHeight="true" outlineLevel="0" collapsed="false">
      <c r="A19" s="86" t="s">
        <v>481</v>
      </c>
      <c r="B19" s="86" t="s">
        <v>767</v>
      </c>
      <c r="C19" s="87"/>
      <c r="D19" s="87"/>
      <c r="E19" s="87"/>
    </row>
    <row r="20" customFormat="false" ht="15" hidden="false" customHeight="true" outlineLevel="0" collapsed="false">
      <c r="A20" s="78" t="s">
        <v>620</v>
      </c>
      <c r="B20" s="78" t="s">
        <v>367</v>
      </c>
      <c r="C20" s="78" t="s">
        <v>34</v>
      </c>
      <c r="D20" s="78" t="s">
        <v>209</v>
      </c>
      <c r="E20" s="78" t="s">
        <v>210</v>
      </c>
    </row>
    <row r="21" customFormat="false" ht="15" hidden="false" customHeight="true" outlineLevel="0" collapsed="false">
      <c r="A21" s="79" t="s">
        <v>768</v>
      </c>
      <c r="B21" s="113" t="n">
        <v>300</v>
      </c>
      <c r="C21" s="79" t="s">
        <v>769</v>
      </c>
      <c r="D21" s="92" t="n">
        <v>15</v>
      </c>
      <c r="E21" s="106" t="n">
        <f aca="false">B21*D21</f>
        <v>4500</v>
      </c>
    </row>
    <row r="22" customFormat="false" ht="15" hidden="false" customHeight="true" outlineLevel="0" collapsed="false">
      <c r="A22" s="79" t="s">
        <v>770</v>
      </c>
      <c r="B22" s="113" t="n">
        <v>40</v>
      </c>
      <c r="C22" s="79" t="s">
        <v>343</v>
      </c>
      <c r="D22" s="92" t="n">
        <v>30</v>
      </c>
      <c r="E22" s="106" t="n">
        <f aca="false">B22*D22</f>
        <v>1200</v>
      </c>
    </row>
    <row r="23" customFormat="false" ht="15" hidden="false" customHeight="true" outlineLevel="0" collapsed="false">
      <c r="A23" s="79" t="s">
        <v>771</v>
      </c>
      <c r="B23" s="113" t="n">
        <v>1</v>
      </c>
      <c r="C23" s="79" t="s">
        <v>102</v>
      </c>
      <c r="D23" s="92" t="n">
        <v>800</v>
      </c>
      <c r="E23" s="106" t="n">
        <f aca="false">B23*D23</f>
        <v>800</v>
      </c>
    </row>
    <row r="24" customFormat="false" ht="15" hidden="false" customHeight="true" outlineLevel="0" collapsed="false">
      <c r="A24" s="79" t="s">
        <v>772</v>
      </c>
      <c r="B24" s="113" t="n">
        <v>1</v>
      </c>
      <c r="C24" s="79" t="s">
        <v>102</v>
      </c>
      <c r="D24" s="92" t="n">
        <v>1500</v>
      </c>
      <c r="E24" s="106" t="n">
        <f aca="false">B24*D24</f>
        <v>1500</v>
      </c>
    </row>
    <row r="25" customFormat="false" ht="15" hidden="false" customHeight="true" outlineLevel="0" collapsed="false">
      <c r="B25" s="103" t="s">
        <v>773</v>
      </c>
      <c r="E25" s="108" t="n">
        <f aca="false">SUM(E21:E24)</f>
        <v>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0" width="46"/>
    <col collapsed="false" customWidth="true" hidden="false" outlineLevel="0" max="2" min="2" style="10" width="10"/>
    <col collapsed="false" customWidth="true" hidden="false" outlineLevel="0" max="3" min="3" style="10" width="9"/>
    <col collapsed="false" customWidth="true" hidden="false" outlineLevel="0" max="4" min="4" style="10" width="11"/>
    <col collapsed="false" customWidth="true" hidden="false" outlineLevel="0" max="5" min="5" style="10" width="12"/>
  </cols>
  <sheetData>
    <row r="1" customFormat="false" ht="17.25" hidden="false" customHeight="true" outlineLevel="0" collapsed="false">
      <c r="A1" s="76" t="s">
        <v>774</v>
      </c>
    </row>
    <row r="2" customFormat="false" ht="15" hidden="false" customHeight="true" outlineLevel="0" collapsed="false">
      <c r="A2" s="77" t="s">
        <v>618</v>
      </c>
    </row>
    <row r="4" customFormat="false" ht="15" hidden="false" customHeight="true" outlineLevel="0" collapsed="false">
      <c r="A4" s="86" t="s">
        <v>512</v>
      </c>
      <c r="B4" s="86" t="s">
        <v>775</v>
      </c>
      <c r="C4" s="87"/>
      <c r="D4" s="87"/>
      <c r="E4" s="87"/>
    </row>
    <row r="5" customFormat="false" ht="15" hidden="false" customHeight="true" outlineLevel="0" collapsed="false">
      <c r="A5" s="78" t="s">
        <v>620</v>
      </c>
      <c r="B5" s="78" t="s">
        <v>367</v>
      </c>
      <c r="C5" s="78" t="s">
        <v>34</v>
      </c>
      <c r="D5" s="78" t="s">
        <v>209</v>
      </c>
      <c r="E5" s="78" t="s">
        <v>210</v>
      </c>
    </row>
    <row r="6" customFormat="false" ht="15" hidden="false" customHeight="true" outlineLevel="0" collapsed="false">
      <c r="A6" s="79" t="s">
        <v>776</v>
      </c>
      <c r="B6" s="113" t="n">
        <v>20</v>
      </c>
      <c r="C6" s="79" t="s">
        <v>777</v>
      </c>
      <c r="D6" s="92" t="n">
        <v>450</v>
      </c>
      <c r="E6" s="106" t="n">
        <f aca="false">B6*D6</f>
        <v>9000</v>
      </c>
    </row>
    <row r="7" customFormat="false" ht="15" hidden="false" customHeight="true" outlineLevel="0" collapsed="false">
      <c r="A7" s="79" t="s">
        <v>778</v>
      </c>
      <c r="B7" s="113" t="n">
        <v>1</v>
      </c>
      <c r="C7" s="79" t="s">
        <v>102</v>
      </c>
      <c r="D7" s="92" t="n">
        <v>1000</v>
      </c>
      <c r="E7" s="106" t="n">
        <f aca="false">B7*D7</f>
        <v>1000</v>
      </c>
    </row>
    <row r="8" customFormat="false" ht="15" hidden="false" customHeight="true" outlineLevel="0" collapsed="false">
      <c r="B8" s="103" t="s">
        <v>779</v>
      </c>
      <c r="E8" s="108" t="n">
        <f aca="false">SUM(E6:E7)</f>
        <v>10000</v>
      </c>
    </row>
    <row r="10" customFormat="false" ht="15" hidden="false" customHeight="true" outlineLevel="0" collapsed="false">
      <c r="A10" s="86" t="s">
        <v>515</v>
      </c>
      <c r="B10" s="86" t="s">
        <v>780</v>
      </c>
      <c r="C10" s="87"/>
      <c r="D10" s="87"/>
      <c r="E10" s="87"/>
    </row>
    <row r="11" customFormat="false" ht="15" hidden="false" customHeight="true" outlineLevel="0" collapsed="false">
      <c r="A11" s="78" t="s">
        <v>620</v>
      </c>
      <c r="B11" s="78" t="s">
        <v>367</v>
      </c>
      <c r="C11" s="78" t="s">
        <v>34</v>
      </c>
      <c r="D11" s="78" t="s">
        <v>209</v>
      </c>
      <c r="E11" s="78" t="s">
        <v>210</v>
      </c>
    </row>
    <row r="12" customFormat="false" ht="15" hidden="false" customHeight="true" outlineLevel="0" collapsed="false">
      <c r="A12" s="79" t="s">
        <v>781</v>
      </c>
      <c r="B12" s="113" t="n">
        <v>10</v>
      </c>
      <c r="C12" s="79" t="s">
        <v>777</v>
      </c>
      <c r="D12" s="92" t="n">
        <v>500</v>
      </c>
      <c r="E12" s="106" t="n">
        <f aca="false">B12*D12</f>
        <v>5000</v>
      </c>
    </row>
    <row r="13" customFormat="false" ht="15" hidden="false" customHeight="true" outlineLevel="0" collapsed="false">
      <c r="A13" s="79" t="s">
        <v>782</v>
      </c>
      <c r="B13" s="113" t="n">
        <v>1</v>
      </c>
      <c r="C13" s="79" t="s">
        <v>102</v>
      </c>
      <c r="D13" s="92" t="n">
        <v>1000</v>
      </c>
      <c r="E13" s="106" t="n">
        <f aca="false">B13*D13</f>
        <v>1000</v>
      </c>
    </row>
    <row r="14" customFormat="false" ht="15" hidden="false" customHeight="true" outlineLevel="0" collapsed="false">
      <c r="B14" s="103" t="s">
        <v>783</v>
      </c>
      <c r="E14" s="108" t="n">
        <f aca="false">SUM(E12:E13)</f>
        <v>6000</v>
      </c>
    </row>
    <row r="16" customFormat="false" ht="15" hidden="false" customHeight="true" outlineLevel="0" collapsed="false">
      <c r="A16" s="86" t="s">
        <v>518</v>
      </c>
      <c r="B16" s="86" t="s">
        <v>784</v>
      </c>
      <c r="C16" s="87"/>
      <c r="D16" s="87"/>
      <c r="E16" s="87"/>
    </row>
    <row r="17" customFormat="false" ht="15" hidden="false" customHeight="true" outlineLevel="0" collapsed="false">
      <c r="A17" s="78" t="s">
        <v>620</v>
      </c>
      <c r="B17" s="78" t="s">
        <v>367</v>
      </c>
      <c r="C17" s="78" t="s">
        <v>34</v>
      </c>
      <c r="D17" s="78" t="s">
        <v>209</v>
      </c>
      <c r="E17" s="78" t="s">
        <v>210</v>
      </c>
    </row>
    <row r="18" customFormat="false" ht="15" hidden="false" customHeight="true" outlineLevel="0" collapsed="false">
      <c r="A18" s="79" t="s">
        <v>785</v>
      </c>
      <c r="B18" s="113" t="n">
        <v>1</v>
      </c>
      <c r="C18" s="79" t="s">
        <v>102</v>
      </c>
      <c r="D18" s="92" t="n">
        <v>1500</v>
      </c>
      <c r="E18" s="106" t="n">
        <f aca="false">B18*D18</f>
        <v>1500</v>
      </c>
    </row>
    <row r="19" customFormat="false" ht="15" hidden="false" customHeight="true" outlineLevel="0" collapsed="false">
      <c r="A19" s="79" t="s">
        <v>786</v>
      </c>
      <c r="B19" s="113" t="n">
        <v>1</v>
      </c>
      <c r="C19" s="79" t="s">
        <v>102</v>
      </c>
      <c r="D19" s="92" t="n">
        <v>1500</v>
      </c>
      <c r="E19" s="106" t="n">
        <f aca="false">B19*D19</f>
        <v>1500</v>
      </c>
    </row>
    <row r="20" customFormat="false" ht="15" hidden="false" customHeight="true" outlineLevel="0" collapsed="false">
      <c r="A20" s="79" t="s">
        <v>787</v>
      </c>
      <c r="B20" s="113" t="n">
        <v>1</v>
      </c>
      <c r="C20" s="79" t="s">
        <v>102</v>
      </c>
      <c r="D20" s="92" t="n">
        <v>1500</v>
      </c>
      <c r="E20" s="106" t="n">
        <f aca="false">B20*D20</f>
        <v>1500</v>
      </c>
    </row>
    <row r="21" customFormat="false" ht="15" hidden="false" customHeight="true" outlineLevel="0" collapsed="false">
      <c r="A21" s="79" t="s">
        <v>788</v>
      </c>
      <c r="B21" s="113" t="n">
        <v>1</v>
      </c>
      <c r="C21" s="79" t="s">
        <v>102</v>
      </c>
      <c r="D21" s="92" t="n">
        <v>500</v>
      </c>
      <c r="E21" s="106" t="n">
        <f aca="false">B21*D21</f>
        <v>500</v>
      </c>
    </row>
    <row r="22" customFormat="false" ht="15" hidden="false" customHeight="true" outlineLevel="0" collapsed="false">
      <c r="B22" s="103" t="s">
        <v>789</v>
      </c>
      <c r="E22" s="108" t="n">
        <f aca="false">SUM(E18:E21)</f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6"/>
  <sheetViews>
    <sheetView showFormulas="false" showGridLines="fals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C35" activeCellId="0" sqref="C35"/>
    </sheetView>
  </sheetViews>
  <sheetFormatPr defaultColWidth="8.71484375" defaultRowHeight="15" zeroHeight="false" outlineLevelRow="0" outlineLevelCol="0"/>
  <cols>
    <col collapsed="false" customWidth="true" hidden="false" outlineLevel="0" max="1" min="1" style="10" width="40"/>
    <col collapsed="false" customWidth="true" hidden="false" outlineLevel="0" max="2" min="2" style="10" width="10"/>
    <col collapsed="false" customWidth="true" hidden="false" outlineLevel="0" max="3" min="3" style="10" width="45"/>
    <col collapsed="false" customWidth="true" hidden="false" outlineLevel="0" max="4" min="4" style="10" width="40"/>
  </cols>
  <sheetData>
    <row r="1" customFormat="false" ht="15" hidden="false" customHeight="true" outlineLevel="0" collapsed="false">
      <c r="A1" s="115" t="s">
        <v>790</v>
      </c>
    </row>
    <row r="2" customFormat="false" ht="14.25" hidden="false" customHeight="true" outlineLevel="0" collapsed="false">
      <c r="A2" s="116" t="s">
        <v>194</v>
      </c>
      <c r="B2" s="116" t="s">
        <v>365</v>
      </c>
      <c r="D2" s="116" t="s">
        <v>366</v>
      </c>
    </row>
    <row r="3" customFormat="false" ht="14.25" hidden="false" customHeight="true" outlineLevel="0" collapsed="false">
      <c r="A3" s="117" t="s">
        <v>791</v>
      </c>
      <c r="B3" s="117" t="s">
        <v>792</v>
      </c>
      <c r="C3" s="117" t="s">
        <v>793</v>
      </c>
    </row>
    <row r="4" customFormat="false" ht="14.25" hidden="false" customHeight="true" outlineLevel="0" collapsed="false">
      <c r="A4" s="117" t="s">
        <v>794</v>
      </c>
      <c r="B4" s="117" t="s">
        <v>795</v>
      </c>
      <c r="C4" s="117" t="s">
        <v>796</v>
      </c>
    </row>
    <row r="5" customFormat="false" ht="14.25" hidden="false" customHeight="true" outlineLevel="0" collapsed="false">
      <c r="A5" s="117" t="s">
        <v>797</v>
      </c>
      <c r="B5" s="117" t="s">
        <v>798</v>
      </c>
      <c r="C5" s="117" t="s">
        <v>799</v>
      </c>
    </row>
    <row r="6" customFormat="false" ht="14.25" hidden="false" customHeight="true" outlineLevel="0" collapsed="false">
      <c r="A6" s="117" t="s">
        <v>800</v>
      </c>
      <c r="B6" s="117" t="s">
        <v>801</v>
      </c>
      <c r="C6" s="117" t="s">
        <v>802</v>
      </c>
    </row>
    <row r="7" customFormat="false" ht="14.25" hidden="false" customHeight="true" outlineLevel="0" collapsed="false">
      <c r="A7" s="117" t="s">
        <v>803</v>
      </c>
      <c r="B7" s="117" t="s">
        <v>804</v>
      </c>
      <c r="C7" s="117" t="s">
        <v>805</v>
      </c>
    </row>
    <row r="8" customFormat="false" ht="14.25" hidden="false" customHeight="true" outlineLevel="0" collapsed="false">
      <c r="A8" s="117" t="s">
        <v>806</v>
      </c>
      <c r="B8" s="117" t="s">
        <v>807</v>
      </c>
      <c r="C8" s="117" t="s">
        <v>808</v>
      </c>
    </row>
    <row r="9" customFormat="false" ht="14.25" hidden="false" customHeight="true" outlineLevel="0" collapsed="false">
      <c r="A9" s="117" t="s">
        <v>809</v>
      </c>
      <c r="B9" s="117" t="s">
        <v>810</v>
      </c>
      <c r="C9" s="117" t="s">
        <v>811</v>
      </c>
    </row>
    <row r="10" customFormat="false" ht="14.25" hidden="false" customHeight="true" outlineLevel="0" collapsed="false">
      <c r="A10" s="117" t="s">
        <v>812</v>
      </c>
      <c r="B10" s="117" t="s">
        <v>813</v>
      </c>
      <c r="C10" s="117" t="s">
        <v>814</v>
      </c>
    </row>
    <row r="11" customFormat="false" ht="14.25" hidden="false" customHeight="true" outlineLevel="0" collapsed="false">
      <c r="A11" s="117" t="s">
        <v>815</v>
      </c>
      <c r="B11" s="117" t="s">
        <v>816</v>
      </c>
      <c r="C11" s="117" t="s">
        <v>817</v>
      </c>
    </row>
    <row r="12" customFormat="false" ht="14.25" hidden="false" customHeight="true" outlineLevel="0" collapsed="false">
      <c r="A12" s="117" t="s">
        <v>61</v>
      </c>
      <c r="B12" s="117" t="s">
        <v>818</v>
      </c>
      <c r="C12" s="117" t="s">
        <v>819</v>
      </c>
    </row>
    <row r="13" customFormat="false" ht="14.25" hidden="false" customHeight="true" outlineLevel="0" collapsed="false">
      <c r="A13" s="117" t="s">
        <v>820</v>
      </c>
      <c r="B13" s="117" t="s">
        <v>240</v>
      </c>
      <c r="C13" s="117" t="s">
        <v>821</v>
      </c>
    </row>
    <row r="14" customFormat="false" ht="14.25" hidden="false" customHeight="true" outlineLevel="0" collapsed="false">
      <c r="A14" s="117" t="s">
        <v>822</v>
      </c>
      <c r="B14" s="117" t="s">
        <v>823</v>
      </c>
      <c r="C14" s="117" t="s">
        <v>824</v>
      </c>
    </row>
    <row r="15" customFormat="false" ht="14.25" hidden="false" customHeight="true" outlineLevel="0" collapsed="false">
      <c r="A15" s="117" t="s">
        <v>825</v>
      </c>
      <c r="B15" s="117" t="s">
        <v>826</v>
      </c>
      <c r="C15" s="117" t="s">
        <v>827</v>
      </c>
    </row>
    <row r="16" customFormat="false" ht="14.25" hidden="false" customHeight="true" outlineLevel="0" collapsed="false">
      <c r="A16" s="117" t="s">
        <v>828</v>
      </c>
      <c r="B16" s="117" t="s">
        <v>254</v>
      </c>
      <c r="C16" s="117" t="s">
        <v>829</v>
      </c>
    </row>
    <row r="17" customFormat="false" ht="14.25" hidden="false" customHeight="true" outlineLevel="0" collapsed="false">
      <c r="A17" s="117" t="s">
        <v>267</v>
      </c>
      <c r="B17" s="117" t="s">
        <v>830</v>
      </c>
      <c r="C17" s="117" t="s">
        <v>831</v>
      </c>
    </row>
    <row r="18" customFormat="false" ht="14.25" hidden="false" customHeight="true" outlineLevel="0" collapsed="false">
      <c r="A18" s="117" t="s">
        <v>832</v>
      </c>
      <c r="B18" s="117" t="s">
        <v>833</v>
      </c>
      <c r="C18" s="117" t="s">
        <v>834</v>
      </c>
      <c r="D18" s="117" t="s">
        <v>835</v>
      </c>
    </row>
    <row r="19" customFormat="false" ht="14.25" hidden="false" customHeight="true" outlineLevel="0" collapsed="false">
      <c r="A19" s="117" t="s">
        <v>836</v>
      </c>
      <c r="B19" s="117" t="s">
        <v>837</v>
      </c>
      <c r="C19" s="117" t="s">
        <v>838</v>
      </c>
      <c r="D19" s="117" t="s">
        <v>839</v>
      </c>
    </row>
    <row r="20" customFormat="false" ht="14.25" hidden="false" customHeight="true" outlineLevel="0" collapsed="false">
      <c r="A20" s="117" t="s">
        <v>285</v>
      </c>
      <c r="B20" s="117" t="s">
        <v>284</v>
      </c>
      <c r="C20" s="117" t="s">
        <v>840</v>
      </c>
      <c r="D20" s="117" t="s">
        <v>841</v>
      </c>
    </row>
    <row r="21" customFormat="false" ht="14.25" hidden="false" customHeight="true" outlineLevel="0" collapsed="false">
      <c r="A21" s="117" t="s">
        <v>842</v>
      </c>
      <c r="B21" s="117" t="s">
        <v>843</v>
      </c>
      <c r="C21" s="117" t="s">
        <v>844</v>
      </c>
      <c r="D21" s="117" t="s">
        <v>845</v>
      </c>
    </row>
    <row r="22" customFormat="false" ht="14.25" hidden="false" customHeight="true" outlineLevel="0" collapsed="false">
      <c r="A22" s="117" t="s">
        <v>846</v>
      </c>
      <c r="B22" s="117" t="s">
        <v>847</v>
      </c>
      <c r="C22" s="117" t="s">
        <v>848</v>
      </c>
      <c r="D22" s="117" t="s">
        <v>849</v>
      </c>
    </row>
    <row r="23" customFormat="false" ht="14.25" hidden="false" customHeight="true" outlineLevel="0" collapsed="false">
      <c r="A23" s="117" t="s">
        <v>850</v>
      </c>
      <c r="B23" s="117" t="s">
        <v>851</v>
      </c>
      <c r="C23" s="117" t="s">
        <v>852</v>
      </c>
      <c r="D23" s="117" t="s">
        <v>853</v>
      </c>
    </row>
    <row r="24" customFormat="false" ht="14.25" hidden="false" customHeight="true" outlineLevel="0" collapsed="false">
      <c r="A24" s="117" t="s">
        <v>854</v>
      </c>
      <c r="B24" s="117" t="s">
        <v>855</v>
      </c>
      <c r="C24" s="117" t="s">
        <v>856</v>
      </c>
      <c r="D24" s="117" t="s">
        <v>857</v>
      </c>
    </row>
    <row r="25" customFormat="false" ht="14.25" hidden="false" customHeight="true" outlineLevel="0" collapsed="false">
      <c r="A25" s="117" t="s">
        <v>79</v>
      </c>
      <c r="B25" s="117" t="s">
        <v>858</v>
      </c>
      <c r="C25" s="117" t="s">
        <v>859</v>
      </c>
    </row>
    <row r="26" customFormat="false" ht="14.25" hidden="false" customHeight="true" outlineLevel="0" collapsed="false">
      <c r="A26" s="117" t="s">
        <v>860</v>
      </c>
      <c r="B26" s="117" t="s">
        <v>265</v>
      </c>
      <c r="C26" s="117" t="s">
        <v>861</v>
      </c>
      <c r="D26" s="117" t="s">
        <v>835</v>
      </c>
    </row>
    <row r="27" customFormat="false" ht="14.25" hidden="false" customHeight="true" outlineLevel="0" collapsed="false">
      <c r="A27" s="117" t="s">
        <v>862</v>
      </c>
      <c r="B27" s="117" t="s">
        <v>863</v>
      </c>
      <c r="C27" s="117" t="s">
        <v>864</v>
      </c>
      <c r="D27" s="117" t="s">
        <v>865</v>
      </c>
    </row>
    <row r="28" customFormat="false" ht="14.25" hidden="false" customHeight="true" outlineLevel="0" collapsed="false">
      <c r="A28" s="117" t="s">
        <v>866</v>
      </c>
      <c r="B28" s="117" t="s">
        <v>867</v>
      </c>
      <c r="C28" s="117" t="s">
        <v>868</v>
      </c>
      <c r="D28" s="117" t="s">
        <v>869</v>
      </c>
    </row>
    <row r="29" customFormat="false" ht="14.25" hidden="false" customHeight="true" outlineLevel="0" collapsed="false">
      <c r="A29" s="117" t="s">
        <v>870</v>
      </c>
      <c r="B29" s="117" t="s">
        <v>871</v>
      </c>
      <c r="C29" s="117" t="s">
        <v>872</v>
      </c>
      <c r="D29" s="117" t="s">
        <v>839</v>
      </c>
    </row>
    <row r="30" customFormat="false" ht="14.25" hidden="false" customHeight="true" outlineLevel="0" collapsed="false">
      <c r="A30" s="117" t="s">
        <v>276</v>
      </c>
      <c r="B30" s="117" t="s">
        <v>873</v>
      </c>
      <c r="C30" s="117" t="s">
        <v>874</v>
      </c>
    </row>
    <row r="31" customFormat="false" ht="14.25" hidden="false" customHeight="true" outlineLevel="0" collapsed="false">
      <c r="A31" s="117" t="s">
        <v>875</v>
      </c>
      <c r="B31" s="117" t="s">
        <v>876</v>
      </c>
      <c r="C31" s="117" t="s">
        <v>877</v>
      </c>
      <c r="D31" s="117" t="s">
        <v>878</v>
      </c>
    </row>
    <row r="32" customFormat="false" ht="14.25" hidden="false" customHeight="true" outlineLevel="0" collapsed="false">
      <c r="A32" s="117" t="s">
        <v>879</v>
      </c>
      <c r="B32" s="117" t="s">
        <v>275</v>
      </c>
      <c r="C32" s="117" t="s">
        <v>880</v>
      </c>
      <c r="D32" s="117" t="s">
        <v>881</v>
      </c>
    </row>
    <row r="33" customFormat="false" ht="14.25" hidden="false" customHeight="true" outlineLevel="0" collapsed="false">
      <c r="A33" s="117" t="s">
        <v>882</v>
      </c>
      <c r="B33" s="117" t="s">
        <v>883</v>
      </c>
      <c r="C33" s="117" t="s">
        <v>884</v>
      </c>
      <c r="D33" s="117" t="s">
        <v>885</v>
      </c>
    </row>
    <row r="34" customFormat="false" ht="14.25" hidden="false" customHeight="true" outlineLevel="0" collapsed="false">
      <c r="A34" s="117" t="s">
        <v>886</v>
      </c>
      <c r="B34" s="117" t="s">
        <v>887</v>
      </c>
      <c r="C34" s="117" t="s">
        <v>888</v>
      </c>
    </row>
    <row r="35" customFormat="false" ht="14.25" hidden="false" customHeight="true" outlineLevel="0" collapsed="false">
      <c r="A35" s="117" t="s">
        <v>889</v>
      </c>
      <c r="B35" s="117" t="s">
        <v>890</v>
      </c>
      <c r="C35" s="117" t="s">
        <v>891</v>
      </c>
    </row>
    <row r="36" customFormat="false" ht="14.25" hidden="false" customHeight="true" outlineLevel="0" collapsed="false">
      <c r="A36" s="117" t="s">
        <v>892</v>
      </c>
      <c r="B36" s="117" t="s">
        <v>893</v>
      </c>
      <c r="C36" s="117" t="s">
        <v>894</v>
      </c>
    </row>
    <row r="37" customFormat="false" ht="14.25" hidden="false" customHeight="true" outlineLevel="0" collapsed="false">
      <c r="A37" s="117" t="s">
        <v>895</v>
      </c>
      <c r="B37" s="117" t="s">
        <v>896</v>
      </c>
      <c r="C37" s="117" t="s">
        <v>897</v>
      </c>
    </row>
    <row r="38" customFormat="false" ht="14.25" hidden="false" customHeight="true" outlineLevel="0" collapsed="false">
      <c r="A38" s="117" t="s">
        <v>898</v>
      </c>
      <c r="B38" s="117" t="s">
        <v>899</v>
      </c>
      <c r="C38" s="117" t="s">
        <v>900</v>
      </c>
    </row>
    <row r="39" customFormat="false" ht="14.25" hidden="false" customHeight="true" outlineLevel="0" collapsed="false">
      <c r="A39" s="117" t="s">
        <v>901</v>
      </c>
      <c r="B39" s="117" t="s">
        <v>902</v>
      </c>
      <c r="C39" s="117" t="s">
        <v>903</v>
      </c>
    </row>
    <row r="40" customFormat="false" ht="14.25" hidden="false" customHeight="true" outlineLevel="0" collapsed="false">
      <c r="A40" s="117" t="s">
        <v>904</v>
      </c>
      <c r="B40" s="117" t="s">
        <v>905</v>
      </c>
      <c r="C40" s="117" t="s">
        <v>906</v>
      </c>
    </row>
    <row r="41" customFormat="false" ht="14.25" hidden="false" customHeight="true" outlineLevel="0" collapsed="false">
      <c r="A41" s="117" t="s">
        <v>907</v>
      </c>
      <c r="B41" s="117" t="s">
        <v>908</v>
      </c>
      <c r="C41" s="117" t="s">
        <v>909</v>
      </c>
    </row>
    <row r="42" customFormat="false" ht="14.25" hidden="false" customHeight="true" outlineLevel="0" collapsed="false">
      <c r="A42" s="117" t="s">
        <v>910</v>
      </c>
      <c r="B42" s="117" t="s">
        <v>911</v>
      </c>
      <c r="C42" s="117" t="s">
        <v>912</v>
      </c>
    </row>
    <row r="43" customFormat="false" ht="14.25" hidden="false" customHeight="true" outlineLevel="0" collapsed="false">
      <c r="A43" s="117" t="s">
        <v>294</v>
      </c>
      <c r="B43" s="117" t="s">
        <v>913</v>
      </c>
      <c r="C43" s="117" t="s">
        <v>914</v>
      </c>
    </row>
    <row r="44" customFormat="false" ht="14.25" hidden="false" customHeight="true" outlineLevel="0" collapsed="false">
      <c r="A44" s="117" t="s">
        <v>303</v>
      </c>
      <c r="B44" s="117" t="s">
        <v>302</v>
      </c>
      <c r="C44" s="117" t="s">
        <v>915</v>
      </c>
    </row>
    <row r="45" customFormat="false" ht="14.25" hidden="false" customHeight="true" outlineLevel="0" collapsed="false">
      <c r="A45" s="117" t="s">
        <v>916</v>
      </c>
      <c r="B45" s="117" t="s">
        <v>310</v>
      </c>
      <c r="C45" s="117" t="s">
        <v>917</v>
      </c>
    </row>
    <row r="46" customFormat="false" ht="14.25" hidden="false" customHeight="true" outlineLevel="0" collapsed="false">
      <c r="A46" s="117" t="s">
        <v>918</v>
      </c>
      <c r="B46" s="117" t="s">
        <v>919</v>
      </c>
      <c r="C46" s="117" t="s">
        <v>920</v>
      </c>
    </row>
    <row r="47" customFormat="false" ht="14.25" hidden="false" customHeight="true" outlineLevel="0" collapsed="false">
      <c r="A47" s="117" t="s">
        <v>921</v>
      </c>
      <c r="B47" s="117" t="s">
        <v>922</v>
      </c>
      <c r="C47" s="117" t="s">
        <v>923</v>
      </c>
    </row>
    <row r="48" customFormat="false" ht="14.25" hidden="false" customHeight="true" outlineLevel="0" collapsed="false">
      <c r="A48" s="117" t="s">
        <v>924</v>
      </c>
      <c r="B48" s="117" t="s">
        <v>292</v>
      </c>
      <c r="C48" s="117" t="s">
        <v>925</v>
      </c>
    </row>
    <row r="49" customFormat="false" ht="14.25" hidden="false" customHeight="true" outlineLevel="0" collapsed="false">
      <c r="A49" s="117" t="s">
        <v>926</v>
      </c>
      <c r="B49" s="117" t="s">
        <v>927</v>
      </c>
      <c r="C49" s="117" t="s">
        <v>928</v>
      </c>
    </row>
    <row r="50" customFormat="false" ht="14.25" hidden="false" customHeight="true" outlineLevel="0" collapsed="false">
      <c r="A50" s="117" t="s">
        <v>929</v>
      </c>
      <c r="B50" s="117" t="s">
        <v>930</v>
      </c>
      <c r="C50" s="117" t="s">
        <v>931</v>
      </c>
    </row>
    <row r="51" customFormat="false" ht="14.25" hidden="false" customHeight="true" outlineLevel="0" collapsed="false">
      <c r="A51" s="117" t="s">
        <v>932</v>
      </c>
      <c r="B51" s="117" t="s">
        <v>933</v>
      </c>
      <c r="C51" s="117" t="s">
        <v>934</v>
      </c>
    </row>
    <row r="52" customFormat="false" ht="14.25" hidden="false" customHeight="true" outlineLevel="0" collapsed="false">
      <c r="A52" s="117" t="s">
        <v>935</v>
      </c>
      <c r="B52" s="117" t="s">
        <v>936</v>
      </c>
      <c r="C52" s="117" t="s">
        <v>937</v>
      </c>
    </row>
    <row r="53" customFormat="false" ht="14.25" hidden="false" customHeight="true" outlineLevel="0" collapsed="false">
      <c r="A53" s="117" t="s">
        <v>938</v>
      </c>
      <c r="B53" s="117" t="s">
        <v>939</v>
      </c>
      <c r="C53" s="117" t="s">
        <v>940</v>
      </c>
    </row>
    <row r="54" customFormat="false" ht="14.25" hidden="false" customHeight="true" outlineLevel="0" collapsed="false">
      <c r="A54" s="117" t="s">
        <v>77</v>
      </c>
      <c r="B54" s="117" t="s">
        <v>941</v>
      </c>
      <c r="C54" s="117" t="s">
        <v>942</v>
      </c>
    </row>
    <row r="55" customFormat="false" ht="14.25" hidden="false" customHeight="true" outlineLevel="0" collapsed="false">
      <c r="A55" s="117" t="s">
        <v>943</v>
      </c>
      <c r="B55" s="117" t="s">
        <v>944</v>
      </c>
      <c r="C55" s="117" t="s">
        <v>945</v>
      </c>
    </row>
    <row r="56" customFormat="false" ht="14.25" hidden="false" customHeight="true" outlineLevel="0" collapsed="false">
      <c r="A56" s="117" t="s">
        <v>946</v>
      </c>
      <c r="B56" s="117" t="s">
        <v>947</v>
      </c>
      <c r="C56" s="117" t="s">
        <v>948</v>
      </c>
    </row>
    <row r="57" customFormat="false" ht="14.25" hidden="false" customHeight="true" outlineLevel="0" collapsed="false">
      <c r="A57" s="117" t="s">
        <v>949</v>
      </c>
      <c r="B57" s="117" t="s">
        <v>950</v>
      </c>
      <c r="C57" s="117" t="s">
        <v>951</v>
      </c>
    </row>
    <row r="58" customFormat="false" ht="14.25" hidden="false" customHeight="true" outlineLevel="0" collapsed="false">
      <c r="A58" s="117" t="s">
        <v>952</v>
      </c>
      <c r="B58" s="117" t="s">
        <v>953</v>
      </c>
      <c r="C58" s="117" t="s">
        <v>954</v>
      </c>
    </row>
    <row r="59" customFormat="false" ht="14.25" hidden="false" customHeight="true" outlineLevel="0" collapsed="false">
      <c r="A59" s="117" t="s">
        <v>955</v>
      </c>
      <c r="B59" s="117" t="s">
        <v>956</v>
      </c>
      <c r="C59" s="117" t="s">
        <v>957</v>
      </c>
    </row>
    <row r="60" customFormat="false" ht="14.25" hidden="false" customHeight="true" outlineLevel="0" collapsed="false">
      <c r="A60" s="117" t="s">
        <v>958</v>
      </c>
      <c r="B60" s="117" t="s">
        <v>959</v>
      </c>
      <c r="C60" s="117" t="s">
        <v>960</v>
      </c>
    </row>
    <row r="61" customFormat="false" ht="14.25" hidden="false" customHeight="true" outlineLevel="0" collapsed="false">
      <c r="A61" s="117" t="s">
        <v>961</v>
      </c>
      <c r="B61" s="117" t="s">
        <v>962</v>
      </c>
      <c r="C61" s="117" t="s">
        <v>963</v>
      </c>
    </row>
    <row r="62" customFormat="false" ht="14.25" hidden="false" customHeight="true" outlineLevel="0" collapsed="false">
      <c r="A62" s="117" t="s">
        <v>964</v>
      </c>
      <c r="B62" s="117" t="s">
        <v>532</v>
      </c>
      <c r="C62" s="117" t="s">
        <v>965</v>
      </c>
    </row>
    <row r="63" customFormat="false" ht="14.25" hidden="false" customHeight="true" outlineLevel="0" collapsed="false">
      <c r="A63" s="117" t="s">
        <v>966</v>
      </c>
      <c r="B63" s="117" t="s">
        <v>967</v>
      </c>
      <c r="C63" s="117" t="s">
        <v>968</v>
      </c>
    </row>
    <row r="64" customFormat="false" ht="14.25" hidden="false" customHeight="true" outlineLevel="0" collapsed="false">
      <c r="A64" s="117" t="s">
        <v>969</v>
      </c>
      <c r="B64" s="117" t="s">
        <v>970</v>
      </c>
      <c r="C64" s="117" t="s">
        <v>971</v>
      </c>
    </row>
    <row r="65" customFormat="false" ht="14.25" hidden="false" customHeight="true" outlineLevel="0" collapsed="false">
      <c r="A65" s="117" t="s">
        <v>972</v>
      </c>
      <c r="B65" s="117" t="s">
        <v>973</v>
      </c>
      <c r="C65" s="117" t="s">
        <v>972</v>
      </c>
    </row>
    <row r="66" customFormat="false" ht="14.25" hidden="false" customHeight="true" outlineLevel="0" collapsed="false">
      <c r="A66" s="117" t="s">
        <v>974</v>
      </c>
      <c r="B66" s="117" t="s">
        <v>368</v>
      </c>
      <c r="C66" s="117" t="s">
        <v>975</v>
      </c>
    </row>
    <row r="67" customFormat="false" ht="14.25" hidden="false" customHeight="true" outlineLevel="0" collapsed="false">
      <c r="A67" s="117" t="s">
        <v>976</v>
      </c>
      <c r="B67" s="117" t="s">
        <v>370</v>
      </c>
      <c r="C67" s="117" t="s">
        <v>977</v>
      </c>
    </row>
    <row r="68" customFormat="false" ht="14.25" hidden="false" customHeight="true" outlineLevel="0" collapsed="false">
      <c r="A68" s="117" t="s">
        <v>978</v>
      </c>
      <c r="B68" s="117" t="s">
        <v>390</v>
      </c>
      <c r="C68" s="117" t="s">
        <v>979</v>
      </c>
    </row>
    <row r="69" customFormat="false" ht="14.25" hidden="false" customHeight="true" outlineLevel="0" collapsed="false">
      <c r="A69" s="117" t="s">
        <v>221</v>
      </c>
      <c r="B69" s="117" t="s">
        <v>413</v>
      </c>
      <c r="C69" s="117" t="s">
        <v>980</v>
      </c>
    </row>
    <row r="70" customFormat="false" ht="14.25" hidden="false" customHeight="true" outlineLevel="0" collapsed="false">
      <c r="A70" s="117" t="s">
        <v>981</v>
      </c>
      <c r="B70" s="117" t="s">
        <v>425</v>
      </c>
      <c r="C70" s="117" t="s">
        <v>982</v>
      </c>
    </row>
    <row r="71" customFormat="false" ht="14.25" hidden="false" customHeight="true" outlineLevel="0" collapsed="false">
      <c r="A71" s="117" t="s">
        <v>232</v>
      </c>
      <c r="B71" s="117" t="s">
        <v>433</v>
      </c>
      <c r="C71" s="117" t="s">
        <v>983</v>
      </c>
    </row>
    <row r="72" customFormat="false" ht="14.25" hidden="false" customHeight="true" outlineLevel="0" collapsed="false">
      <c r="A72" s="117" t="s">
        <v>984</v>
      </c>
      <c r="B72" s="117" t="s">
        <v>454</v>
      </c>
      <c r="C72" s="117" t="s">
        <v>985</v>
      </c>
    </row>
    <row r="73" customFormat="false" ht="14.25" hidden="false" customHeight="true" outlineLevel="0" collapsed="false">
      <c r="A73" s="117" t="s">
        <v>986</v>
      </c>
      <c r="B73" s="117" t="s">
        <v>459</v>
      </c>
      <c r="C73" s="117" t="s">
        <v>987</v>
      </c>
    </row>
    <row r="74" customFormat="false" ht="14.25" hidden="false" customHeight="true" outlineLevel="0" collapsed="false">
      <c r="A74" s="117" t="s">
        <v>988</v>
      </c>
      <c r="B74" s="117" t="s">
        <v>473</v>
      </c>
      <c r="C74" s="117" t="s">
        <v>989</v>
      </c>
    </row>
    <row r="75" customFormat="false" ht="14.25" hidden="false" customHeight="true" outlineLevel="0" collapsed="false">
      <c r="A75" s="117" t="s">
        <v>990</v>
      </c>
      <c r="B75" s="117" t="s">
        <v>486</v>
      </c>
      <c r="C75" s="117" t="s">
        <v>991</v>
      </c>
    </row>
    <row r="76" customFormat="false" ht="14.25" hidden="false" customHeight="true" outlineLevel="0" collapsed="false">
      <c r="A76" s="117" t="s">
        <v>992</v>
      </c>
      <c r="B76" s="117" t="s">
        <v>489</v>
      </c>
      <c r="C76" s="117" t="s">
        <v>993</v>
      </c>
    </row>
    <row r="77" customFormat="false" ht="14.25" hidden="false" customHeight="true" outlineLevel="0" collapsed="false">
      <c r="A77" s="117" t="s">
        <v>492</v>
      </c>
      <c r="B77" s="117" t="s">
        <v>491</v>
      </c>
      <c r="C77" s="117" t="s">
        <v>994</v>
      </c>
    </row>
    <row r="78" customFormat="false" ht="14.25" hidden="false" customHeight="true" outlineLevel="0" collapsed="false">
      <c r="A78" s="117" t="s">
        <v>495</v>
      </c>
      <c r="B78" s="117" t="s">
        <v>494</v>
      </c>
      <c r="C78" s="117" t="s">
        <v>995</v>
      </c>
    </row>
    <row r="79" customFormat="false" ht="14.25" hidden="false" customHeight="true" outlineLevel="0" collapsed="false">
      <c r="A79" s="117" t="s">
        <v>996</v>
      </c>
      <c r="B79" s="117" t="s">
        <v>497</v>
      </c>
      <c r="C79" s="117" t="s">
        <v>997</v>
      </c>
    </row>
    <row r="80" customFormat="false" ht="14.25" hidden="false" customHeight="true" outlineLevel="0" collapsed="false">
      <c r="A80" s="117" t="s">
        <v>998</v>
      </c>
      <c r="B80" s="117" t="s">
        <v>499</v>
      </c>
      <c r="C80" s="117" t="s">
        <v>999</v>
      </c>
    </row>
    <row r="81" customFormat="false" ht="14.25" hidden="false" customHeight="true" outlineLevel="0" collapsed="false">
      <c r="A81" s="117" t="s">
        <v>502</v>
      </c>
      <c r="B81" s="117" t="s">
        <v>501</v>
      </c>
      <c r="C81" s="117" t="s">
        <v>1000</v>
      </c>
    </row>
    <row r="82" customFormat="false" ht="14.25" hidden="false" customHeight="true" outlineLevel="0" collapsed="false">
      <c r="A82" s="117" t="s">
        <v>1001</v>
      </c>
      <c r="B82" s="117" t="s">
        <v>503</v>
      </c>
      <c r="C82" s="117" t="s">
        <v>1002</v>
      </c>
    </row>
    <row r="83" customFormat="false" ht="14.25" hidden="false" customHeight="true" outlineLevel="0" collapsed="false">
      <c r="A83" s="117" t="s">
        <v>507</v>
      </c>
      <c r="B83" s="117" t="s">
        <v>506</v>
      </c>
      <c r="C83" s="117" t="s">
        <v>1003</v>
      </c>
    </row>
    <row r="84" customFormat="false" ht="14.25" hidden="false" customHeight="true" outlineLevel="0" collapsed="false">
      <c r="A84" s="117" t="s">
        <v>509</v>
      </c>
      <c r="B84" s="117" t="s">
        <v>508</v>
      </c>
      <c r="C84" s="117" t="s">
        <v>1004</v>
      </c>
    </row>
    <row r="85" customFormat="false" ht="14.25" hidden="false" customHeight="true" outlineLevel="0" collapsed="false">
      <c r="A85" s="117" t="s">
        <v>1005</v>
      </c>
      <c r="B85" s="117" t="s">
        <v>510</v>
      </c>
      <c r="C85" s="117" t="s">
        <v>1006</v>
      </c>
    </row>
    <row r="86" customFormat="false" ht="14.25" hidden="false" customHeight="true" outlineLevel="0" collapsed="false">
      <c r="A86" s="117" t="s">
        <v>1007</v>
      </c>
      <c r="B86" s="117" t="s">
        <v>521</v>
      </c>
      <c r="C86" s="117" t="s">
        <v>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703125" defaultRowHeight="15" zeroHeight="false" outlineLevelRow="0" outlineLevelCol="0"/>
  <sheetData>
    <row r="2" customFormat="false" ht="14.25" hidden="false" customHeight="true" outlineLevel="0" collapsed="false">
      <c r="A2" s="10" t="s">
        <v>1009</v>
      </c>
      <c r="B2" s="10" t="n">
        <v>68</v>
      </c>
      <c r="C2" s="10" t="n">
        <v>0.2</v>
      </c>
      <c r="D2" s="10" t="n">
        <f aca="false">B2*C2</f>
        <v>13.6</v>
      </c>
      <c r="E2" s="10" t="n">
        <v>2</v>
      </c>
      <c r="F2" s="10" t="n">
        <f aca="false">D2*E2</f>
        <v>27.2</v>
      </c>
    </row>
    <row r="3" customFormat="false" ht="14.25" hidden="false" customHeight="true" outlineLevel="0" collapsed="false">
      <c r="A3" s="10" t="s">
        <v>1010</v>
      </c>
      <c r="B3" s="10" t="n">
        <f aca="false">60*3.2</f>
        <v>192</v>
      </c>
      <c r="C3" s="10" t="n">
        <v>0.2</v>
      </c>
      <c r="D3" s="10" t="n">
        <f aca="false">B3*C3</f>
        <v>38.4</v>
      </c>
      <c r="E3" s="10" t="n">
        <v>1</v>
      </c>
      <c r="F3" s="10" t="n">
        <f aca="false">D3*E3</f>
        <v>38.4</v>
      </c>
    </row>
    <row r="4" customFormat="false" ht="14.25" hidden="false" customHeight="true" outlineLevel="0" collapsed="false">
      <c r="F4" s="10" t="n">
        <f aca="false">SUM(F2:F3)</f>
        <v>65.6</v>
      </c>
    </row>
    <row r="5" customFormat="false" ht="14.25" hidden="false" customHeight="true" outlineLevel="0" collapsed="false">
      <c r="A5" s="10" t="s">
        <v>1010</v>
      </c>
      <c r="B5" s="10" t="n">
        <v>60</v>
      </c>
      <c r="C5" s="10" t="n">
        <v>3.2</v>
      </c>
      <c r="D5" s="10" t="n">
        <v>2</v>
      </c>
      <c r="E5" s="10" t="n">
        <f aca="false">B5*C5*D5</f>
        <v>384</v>
      </c>
    </row>
    <row r="6" customFormat="false" ht="14.25" hidden="false" customHeight="true" outlineLevel="0" collapsed="false">
      <c r="A6" s="10" t="s">
        <v>1009</v>
      </c>
      <c r="E6" s="10" t="n">
        <f aca="false">86*2</f>
        <v>172</v>
      </c>
    </row>
    <row r="7" customFormat="false" ht="14.25" hidden="false" customHeight="true" outlineLevel="0" collapsed="false">
      <c r="E7" s="10" t="n">
        <f aca="false">E5+E6</f>
        <v>556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false" showOutlineSymbols="true" defaultGridColor="true" view="normal" topLeftCell="A50" colorId="64" zoomScale="100" zoomScaleNormal="100" zoomScalePageLayoutView="100" workbookViewId="0">
      <selection pane="topLeft" activeCell="F60" activeCellId="0" sqref="F60"/>
    </sheetView>
  </sheetViews>
  <sheetFormatPr defaultColWidth="8.71484375" defaultRowHeight="15" zeroHeight="false" outlineLevelRow="0" outlineLevelCol="0"/>
  <cols>
    <col collapsed="false" customWidth="true" hidden="false" outlineLevel="0" max="1" min="1" style="118" width="9.14"/>
    <col collapsed="false" customWidth="true" hidden="false" outlineLevel="0" max="2" min="2" style="10" width="16.29"/>
    <col collapsed="false" customWidth="true" hidden="false" outlineLevel="0" max="3" min="3" style="10" width="21.29"/>
    <col collapsed="false" customWidth="true" hidden="false" outlineLevel="0" max="4" min="4" style="10" width="25.29"/>
    <col collapsed="false" customWidth="true" hidden="false" outlineLevel="0" max="5" min="5" style="10" width="20.85"/>
    <col collapsed="false" customWidth="true" hidden="false" outlineLevel="0" max="6" min="6" style="10" width="19.14"/>
    <col collapsed="false" customWidth="true" hidden="false" outlineLevel="0" max="7" min="7" style="10" width="23.14"/>
  </cols>
  <sheetData>
    <row r="1" customFormat="false" ht="14.25" hidden="false" customHeight="true" outlineLevel="0" collapsed="false">
      <c r="A1" s="118" t="s">
        <v>189</v>
      </c>
      <c r="B1" s="10" t="s">
        <v>1011</v>
      </c>
      <c r="C1" s="10" t="s">
        <v>1012</v>
      </c>
      <c r="D1" s="119" t="s">
        <v>1013</v>
      </c>
      <c r="E1" s="10" t="s">
        <v>1014</v>
      </c>
      <c r="F1" s="119" t="s">
        <v>1015</v>
      </c>
      <c r="G1" s="119" t="s">
        <v>1016</v>
      </c>
    </row>
    <row r="2" customFormat="false" ht="14.25" hidden="false" customHeight="true" outlineLevel="0" collapsed="false">
      <c r="A2" s="118" t="n">
        <v>1</v>
      </c>
      <c r="B2" s="10" t="s">
        <v>1017</v>
      </c>
      <c r="C2" s="10" t="n">
        <v>3</v>
      </c>
      <c r="D2" s="119" t="s">
        <v>1018</v>
      </c>
      <c r="E2" s="10" t="n">
        <v>2</v>
      </c>
      <c r="F2" s="10" t="n">
        <v>9.33</v>
      </c>
      <c r="G2" s="10" t="n">
        <f aca="false">F2*E2*C2</f>
        <v>55.98</v>
      </c>
    </row>
    <row r="3" customFormat="false" ht="14.25" hidden="false" customHeight="true" outlineLevel="0" collapsed="false">
      <c r="A3" s="118" t="n">
        <v>2</v>
      </c>
      <c r="B3" s="10" t="s">
        <v>1017</v>
      </c>
      <c r="C3" s="10" t="n">
        <v>3</v>
      </c>
      <c r="D3" s="119" t="s">
        <v>1018</v>
      </c>
      <c r="E3" s="10" t="n">
        <v>2</v>
      </c>
      <c r="F3" s="10" t="n">
        <v>5.57</v>
      </c>
      <c r="G3" s="10" t="n">
        <f aca="false">F3*E3*C3</f>
        <v>33.42</v>
      </c>
    </row>
    <row r="4" customFormat="false" ht="14.25" hidden="false" customHeight="true" outlineLevel="0" collapsed="false">
      <c r="A4" s="118" t="n">
        <v>3</v>
      </c>
      <c r="B4" s="10" t="s">
        <v>1017</v>
      </c>
      <c r="C4" s="10" t="n">
        <v>3</v>
      </c>
      <c r="D4" s="119" t="s">
        <v>1018</v>
      </c>
      <c r="E4" s="10" t="n">
        <v>1</v>
      </c>
      <c r="F4" s="10" t="n">
        <v>5.55</v>
      </c>
      <c r="G4" s="10" t="n">
        <f aca="false">F4*E4*C4</f>
        <v>16.65</v>
      </c>
    </row>
    <row r="5" customFormat="false" ht="14.25" hidden="false" customHeight="true" outlineLevel="0" collapsed="false">
      <c r="A5" s="118" t="n">
        <v>4</v>
      </c>
      <c r="B5" s="10" t="s">
        <v>1017</v>
      </c>
      <c r="C5" s="10" t="n">
        <v>3</v>
      </c>
      <c r="D5" s="119" t="s">
        <v>1018</v>
      </c>
      <c r="E5" s="10" t="n">
        <v>2</v>
      </c>
      <c r="F5" s="10" t="n">
        <v>1.38</v>
      </c>
      <c r="G5" s="10" t="n">
        <f aca="false">F5*E5*C5</f>
        <v>8.28</v>
      </c>
    </row>
    <row r="6" customFormat="false" ht="14.25" hidden="false" customHeight="true" outlineLevel="0" collapsed="false">
      <c r="A6" s="118" t="n">
        <v>5</v>
      </c>
      <c r="B6" s="10" t="s">
        <v>1017</v>
      </c>
      <c r="C6" s="10" t="n">
        <v>3</v>
      </c>
      <c r="D6" s="119" t="s">
        <v>1018</v>
      </c>
      <c r="E6" s="10" t="n">
        <v>2</v>
      </c>
      <c r="F6" s="10" t="n">
        <v>0.139</v>
      </c>
      <c r="G6" s="10" t="n">
        <f aca="false">F6*E6*C6</f>
        <v>0.834</v>
      </c>
    </row>
    <row r="7" customFormat="false" ht="14.25" hidden="false" customHeight="true" outlineLevel="0" collapsed="false">
      <c r="A7" s="118" t="n">
        <v>6</v>
      </c>
      <c r="B7" s="10" t="s">
        <v>1017</v>
      </c>
      <c r="C7" s="10" t="n">
        <v>3</v>
      </c>
      <c r="D7" s="119" t="s">
        <v>1018</v>
      </c>
      <c r="E7" s="10" t="n">
        <v>1</v>
      </c>
      <c r="F7" s="10" t="n">
        <v>1.93</v>
      </c>
      <c r="G7" s="10" t="n">
        <f aca="false">F7*E7*C7</f>
        <v>5.79</v>
      </c>
    </row>
    <row r="8" customFormat="false" ht="14.25" hidden="false" customHeight="true" outlineLevel="0" collapsed="false">
      <c r="A8" s="118" t="n">
        <v>7</v>
      </c>
      <c r="B8" s="10" t="s">
        <v>1017</v>
      </c>
      <c r="C8" s="10" t="n">
        <v>3</v>
      </c>
      <c r="D8" s="119" t="s">
        <v>1018</v>
      </c>
      <c r="E8" s="10" t="n">
        <v>2</v>
      </c>
      <c r="F8" s="10" t="n">
        <v>1.64</v>
      </c>
      <c r="G8" s="10" t="n">
        <f aca="false">F8*E8*C8</f>
        <v>9.84</v>
      </c>
    </row>
    <row r="9" customFormat="false" ht="14.25" hidden="false" customHeight="true" outlineLevel="0" collapsed="false">
      <c r="A9" s="118" t="n">
        <v>8</v>
      </c>
      <c r="B9" s="10" t="s">
        <v>1017</v>
      </c>
      <c r="C9" s="10" t="n">
        <v>3</v>
      </c>
      <c r="D9" s="119" t="s">
        <v>1018</v>
      </c>
      <c r="E9" s="10" t="n">
        <v>2</v>
      </c>
      <c r="F9" s="10" t="n">
        <v>1.42</v>
      </c>
      <c r="G9" s="10" t="n">
        <f aca="false">F9*E9*C9</f>
        <v>8.52</v>
      </c>
    </row>
    <row r="10" customFormat="false" ht="14.25" hidden="false" customHeight="true" outlineLevel="0" collapsed="false">
      <c r="A10" s="118" t="n">
        <v>9</v>
      </c>
      <c r="B10" s="10" t="s">
        <v>1017</v>
      </c>
      <c r="C10" s="10" t="n">
        <v>3</v>
      </c>
      <c r="D10" s="119" t="s">
        <v>1018</v>
      </c>
      <c r="E10" s="10" t="n">
        <v>2</v>
      </c>
      <c r="F10" s="10" t="n">
        <v>1.27</v>
      </c>
      <c r="G10" s="10" t="n">
        <f aca="false">F10*E10*C10</f>
        <v>7.62</v>
      </c>
    </row>
    <row r="11" customFormat="false" ht="14.25" hidden="false" customHeight="true" outlineLevel="0" collapsed="false">
      <c r="A11" s="118" t="n">
        <v>10</v>
      </c>
      <c r="B11" s="10" t="s">
        <v>1017</v>
      </c>
      <c r="C11" s="10" t="n">
        <v>3</v>
      </c>
      <c r="D11" s="119" t="s">
        <v>1018</v>
      </c>
      <c r="E11" s="10" t="n">
        <v>2</v>
      </c>
      <c r="F11" s="10" t="n">
        <v>1.1</v>
      </c>
      <c r="G11" s="10" t="n">
        <f aca="false">F11*E11*C11</f>
        <v>6.6</v>
      </c>
    </row>
    <row r="12" customFormat="false" ht="14.25" hidden="false" customHeight="true" outlineLevel="0" collapsed="false">
      <c r="A12" s="118" t="n">
        <v>11</v>
      </c>
      <c r="B12" s="10" t="s">
        <v>1017</v>
      </c>
      <c r="C12" s="10" t="n">
        <v>3</v>
      </c>
      <c r="D12" s="119" t="s">
        <v>1018</v>
      </c>
      <c r="E12" s="10" t="n">
        <v>2</v>
      </c>
      <c r="F12" s="10" t="n">
        <v>0.95</v>
      </c>
      <c r="G12" s="10" t="n">
        <f aca="false">F12*E12*C12</f>
        <v>5.7</v>
      </c>
    </row>
    <row r="13" customFormat="false" ht="14.25" hidden="false" customHeight="true" outlineLevel="0" collapsed="false">
      <c r="A13" s="118" t="n">
        <v>12</v>
      </c>
      <c r="B13" s="10" t="s">
        <v>1017</v>
      </c>
      <c r="C13" s="10" t="n">
        <v>3</v>
      </c>
      <c r="D13" s="119" t="s">
        <v>1018</v>
      </c>
      <c r="E13" s="10" t="n">
        <v>2</v>
      </c>
      <c r="F13" s="10" t="n">
        <v>0.63</v>
      </c>
      <c r="G13" s="10" t="n">
        <f aca="false">F13*E13*C13</f>
        <v>3.78</v>
      </c>
    </row>
    <row r="14" customFormat="false" ht="14.25" hidden="false" customHeight="true" outlineLevel="0" collapsed="false">
      <c r="A14" s="118" t="n">
        <v>13</v>
      </c>
      <c r="B14" s="10" t="s">
        <v>1017</v>
      </c>
      <c r="C14" s="10" t="n">
        <v>3</v>
      </c>
      <c r="D14" s="119" t="s">
        <v>1018</v>
      </c>
      <c r="E14" s="10" t="n">
        <v>8</v>
      </c>
      <c r="F14" s="10" t="n">
        <v>0.73</v>
      </c>
      <c r="G14" s="10" t="n">
        <f aca="false">F14*E14*C14</f>
        <v>17.52</v>
      </c>
    </row>
    <row r="15" customFormat="false" ht="14.25" hidden="false" customHeight="true" outlineLevel="0" collapsed="false">
      <c r="A15" s="118" t="n">
        <v>14</v>
      </c>
      <c r="B15" s="10" t="s">
        <v>1017</v>
      </c>
      <c r="C15" s="10" t="n">
        <v>3</v>
      </c>
      <c r="D15" s="119" t="s">
        <v>1018</v>
      </c>
      <c r="E15" s="10" t="n">
        <v>2</v>
      </c>
      <c r="F15" s="10" t="n">
        <v>0.62</v>
      </c>
      <c r="G15" s="10" t="n">
        <f aca="false">F15*E15*C15</f>
        <v>3.72</v>
      </c>
    </row>
    <row r="16" customFormat="false" ht="14.25" hidden="false" customHeight="true" outlineLevel="0" collapsed="false">
      <c r="A16" s="118" t="n">
        <v>15</v>
      </c>
      <c r="B16" s="10" t="s">
        <v>1017</v>
      </c>
      <c r="C16" s="10" t="n">
        <v>3</v>
      </c>
      <c r="D16" s="119" t="s">
        <v>1018</v>
      </c>
      <c r="E16" s="10" t="n">
        <v>2</v>
      </c>
      <c r="F16" s="10" t="n">
        <v>0.622</v>
      </c>
      <c r="G16" s="10" t="n">
        <f aca="false">F16*E16*C16</f>
        <v>3.732</v>
      </c>
    </row>
    <row r="17" customFormat="false" ht="14.25" hidden="false" customHeight="true" outlineLevel="0" collapsed="false">
      <c r="A17" s="118" t="n">
        <v>16</v>
      </c>
      <c r="B17" s="10" t="s">
        <v>1017</v>
      </c>
      <c r="C17" s="10" t="n">
        <v>3</v>
      </c>
      <c r="D17" s="119" t="s">
        <v>1018</v>
      </c>
      <c r="E17" s="10" t="n">
        <v>10</v>
      </c>
      <c r="F17" s="10" t="n">
        <v>0.6</v>
      </c>
      <c r="G17" s="10" t="n">
        <f aca="false">F17*E17*C17</f>
        <v>18</v>
      </c>
    </row>
    <row r="18" customFormat="false" ht="14.25" hidden="false" customHeight="true" outlineLevel="0" collapsed="false">
      <c r="A18" s="118" t="n">
        <v>17</v>
      </c>
      <c r="B18" s="10" t="s">
        <v>1017</v>
      </c>
      <c r="C18" s="10" t="n">
        <v>3</v>
      </c>
      <c r="D18" s="119" t="s">
        <v>1018</v>
      </c>
      <c r="E18" s="10" t="n">
        <v>1</v>
      </c>
      <c r="F18" s="10" t="n">
        <v>0.536</v>
      </c>
      <c r="G18" s="10" t="n">
        <f aca="false">F18*E18*C18</f>
        <v>1.608</v>
      </c>
    </row>
    <row r="19" customFormat="false" ht="14.25" hidden="false" customHeight="true" outlineLevel="0" collapsed="false">
      <c r="A19" s="118" t="n">
        <v>18</v>
      </c>
      <c r="B19" s="10" t="s">
        <v>1019</v>
      </c>
      <c r="C19" s="10" t="n">
        <v>2</v>
      </c>
      <c r="D19" s="119" t="s">
        <v>1018</v>
      </c>
      <c r="E19" s="10" t="n">
        <v>2</v>
      </c>
      <c r="F19" s="10" t="n">
        <v>4.909</v>
      </c>
      <c r="G19" s="10" t="n">
        <f aca="false">F19*E19*C19</f>
        <v>19.636</v>
      </c>
    </row>
    <row r="20" customFormat="false" ht="14.25" hidden="false" customHeight="true" outlineLevel="0" collapsed="false">
      <c r="A20" s="118" t="n">
        <v>19</v>
      </c>
      <c r="B20" s="10" t="s">
        <v>1019</v>
      </c>
      <c r="C20" s="10" t="n">
        <v>2</v>
      </c>
      <c r="D20" s="119" t="s">
        <v>1018</v>
      </c>
      <c r="E20" s="10" t="n">
        <v>1</v>
      </c>
      <c r="F20" s="10" t="n">
        <v>8.2</v>
      </c>
      <c r="G20" s="10" t="n">
        <f aca="false">F20*E20*C20</f>
        <v>16.4</v>
      </c>
    </row>
    <row r="21" customFormat="false" ht="14.25" hidden="false" customHeight="true" outlineLevel="0" collapsed="false">
      <c r="A21" s="118" t="n">
        <v>20</v>
      </c>
      <c r="B21" s="10" t="s">
        <v>1019</v>
      </c>
      <c r="C21" s="10" t="n">
        <v>2</v>
      </c>
      <c r="D21" s="119" t="s">
        <v>1018</v>
      </c>
      <c r="E21" s="10" t="n">
        <v>1</v>
      </c>
      <c r="F21" s="10" t="n">
        <v>8.2</v>
      </c>
      <c r="G21" s="10" t="n">
        <f aca="false">F21*E21*C21</f>
        <v>16.4</v>
      </c>
    </row>
    <row r="22" customFormat="false" ht="14.25" hidden="false" customHeight="true" outlineLevel="0" collapsed="false">
      <c r="A22" s="118" t="n">
        <v>21</v>
      </c>
      <c r="B22" s="10" t="s">
        <v>1019</v>
      </c>
      <c r="C22" s="10" t="n">
        <v>2</v>
      </c>
      <c r="D22" s="119" t="s">
        <v>1018</v>
      </c>
      <c r="E22" s="10" t="n">
        <v>2</v>
      </c>
      <c r="F22" s="10" t="n">
        <v>2.3</v>
      </c>
      <c r="G22" s="10" t="n">
        <f aca="false">F22*E22*C22</f>
        <v>9.2</v>
      </c>
    </row>
    <row r="23" customFormat="false" ht="14.25" hidden="false" customHeight="true" outlineLevel="0" collapsed="false">
      <c r="A23" s="118" t="n">
        <v>22</v>
      </c>
      <c r="B23" s="10" t="s">
        <v>1019</v>
      </c>
      <c r="C23" s="10" t="n">
        <v>2</v>
      </c>
      <c r="D23" s="119" t="s">
        <v>1018</v>
      </c>
      <c r="E23" s="10" t="n">
        <v>2</v>
      </c>
      <c r="F23" s="10" t="n">
        <v>0.139</v>
      </c>
      <c r="G23" s="10" t="n">
        <f aca="false">F23*E23*C23</f>
        <v>0.556</v>
      </c>
    </row>
    <row r="24" customFormat="false" ht="14.25" hidden="false" customHeight="true" outlineLevel="0" collapsed="false">
      <c r="A24" s="118" t="n">
        <v>23</v>
      </c>
      <c r="B24" s="10" t="s">
        <v>1019</v>
      </c>
      <c r="C24" s="10" t="n">
        <v>2</v>
      </c>
      <c r="D24" s="119" t="s">
        <v>1018</v>
      </c>
      <c r="E24" s="10" t="n">
        <v>1</v>
      </c>
      <c r="F24" s="10" t="n">
        <v>1.38</v>
      </c>
      <c r="G24" s="10" t="n">
        <f aca="false">F24*E24*C24</f>
        <v>2.76</v>
      </c>
    </row>
    <row r="25" customFormat="false" ht="14.25" hidden="false" customHeight="true" outlineLevel="0" collapsed="false">
      <c r="A25" s="118" t="n">
        <v>24</v>
      </c>
      <c r="B25" s="10" t="s">
        <v>1019</v>
      </c>
      <c r="C25" s="10" t="n">
        <v>2</v>
      </c>
      <c r="D25" s="119" t="s">
        <v>1018</v>
      </c>
      <c r="E25" s="10" t="n">
        <v>1</v>
      </c>
      <c r="F25" s="10" t="n">
        <v>0.54</v>
      </c>
      <c r="G25" s="10" t="n">
        <f aca="false">F25*E25*C25</f>
        <v>1.08</v>
      </c>
    </row>
    <row r="26" customFormat="false" ht="14.25" hidden="false" customHeight="true" outlineLevel="0" collapsed="false">
      <c r="A26" s="118" t="n">
        <v>25</v>
      </c>
      <c r="B26" s="10" t="s">
        <v>1019</v>
      </c>
      <c r="C26" s="10" t="n">
        <v>2</v>
      </c>
      <c r="D26" s="119" t="s">
        <v>1018</v>
      </c>
      <c r="E26" s="10" t="n">
        <v>2</v>
      </c>
      <c r="F26" s="10" t="n">
        <v>0.622</v>
      </c>
      <c r="G26" s="10" t="n">
        <f aca="false">F26*E26*C26</f>
        <v>2.488</v>
      </c>
    </row>
    <row r="27" customFormat="false" ht="14.25" hidden="false" customHeight="true" outlineLevel="0" collapsed="false">
      <c r="A27" s="118" t="n">
        <v>26</v>
      </c>
      <c r="B27" s="10" t="s">
        <v>1019</v>
      </c>
      <c r="C27" s="10" t="n">
        <v>2</v>
      </c>
      <c r="D27" s="119" t="s">
        <v>1018</v>
      </c>
      <c r="E27" s="10" t="n">
        <v>2</v>
      </c>
      <c r="F27" s="10" t="n">
        <v>0.554</v>
      </c>
      <c r="G27" s="10" t="n">
        <f aca="false">F27*E27*C27</f>
        <v>2.216</v>
      </c>
    </row>
    <row r="28" customFormat="false" ht="14.25" hidden="false" customHeight="true" outlineLevel="0" collapsed="false">
      <c r="A28" s="118" t="n">
        <v>27</v>
      </c>
      <c r="B28" s="10" t="s">
        <v>1019</v>
      </c>
      <c r="C28" s="10" t="n">
        <v>2</v>
      </c>
      <c r="D28" s="119" t="s">
        <v>1018</v>
      </c>
      <c r="E28" s="10" t="n">
        <v>7</v>
      </c>
      <c r="F28" s="10" t="n">
        <v>0.602</v>
      </c>
      <c r="G28" s="10" t="n">
        <f aca="false">F28*E28*C28</f>
        <v>8.428</v>
      </c>
    </row>
    <row r="29" customFormat="false" ht="14.25" hidden="false" customHeight="true" outlineLevel="0" collapsed="false">
      <c r="A29" s="118" t="n">
        <v>28</v>
      </c>
      <c r="B29" s="10" t="s">
        <v>1019</v>
      </c>
      <c r="C29" s="10" t="n">
        <v>2</v>
      </c>
      <c r="D29" s="119" t="s">
        <v>1018</v>
      </c>
      <c r="E29" s="10" t="n">
        <v>7</v>
      </c>
      <c r="F29" s="10" t="n">
        <v>0.602</v>
      </c>
      <c r="G29" s="10" t="n">
        <f aca="false">F29*E29*C29</f>
        <v>8.428</v>
      </c>
    </row>
    <row r="30" customFormat="false" ht="14.25" hidden="false" customHeight="true" outlineLevel="0" collapsed="false">
      <c r="A30" s="118" t="n">
        <v>29</v>
      </c>
      <c r="B30" s="10" t="s">
        <v>1019</v>
      </c>
      <c r="C30" s="10" t="n">
        <v>2</v>
      </c>
      <c r="D30" s="119" t="s">
        <v>1018</v>
      </c>
      <c r="E30" s="10" t="n">
        <v>11</v>
      </c>
      <c r="F30" s="10" t="n">
        <v>0.62</v>
      </c>
      <c r="G30" s="10" t="n">
        <f aca="false">F30*E30*C30</f>
        <v>13.64</v>
      </c>
    </row>
    <row r="31" customFormat="false" ht="14.25" hidden="false" customHeight="true" outlineLevel="0" collapsed="false">
      <c r="A31" s="118" t="n">
        <v>30</v>
      </c>
      <c r="B31" s="10" t="s">
        <v>1019</v>
      </c>
      <c r="C31" s="10" t="n">
        <v>2</v>
      </c>
      <c r="D31" s="119" t="s">
        <v>1018</v>
      </c>
      <c r="E31" s="10" t="n">
        <v>10</v>
      </c>
      <c r="F31" s="10" t="n">
        <v>0.82</v>
      </c>
      <c r="G31" s="10" t="n">
        <f aca="false">F31*E31*C31</f>
        <v>16.4</v>
      </c>
    </row>
    <row r="32" customFormat="false" ht="14.25" hidden="false" customHeight="true" outlineLevel="0" collapsed="false">
      <c r="A32" s="118" t="n">
        <v>31</v>
      </c>
      <c r="B32" s="10" t="s">
        <v>1020</v>
      </c>
      <c r="C32" s="10" t="n">
        <v>3</v>
      </c>
      <c r="D32" s="119" t="s">
        <v>1018</v>
      </c>
      <c r="E32" s="10" t="n">
        <v>4</v>
      </c>
      <c r="F32" s="10" t="n">
        <v>3.63</v>
      </c>
      <c r="G32" s="10" t="n">
        <f aca="false">F32*E32*C32</f>
        <v>43.56</v>
      </c>
    </row>
    <row r="33" customFormat="false" ht="14.25" hidden="false" customHeight="true" outlineLevel="0" collapsed="false">
      <c r="A33" s="118" t="n">
        <v>32</v>
      </c>
      <c r="B33" s="10" t="s">
        <v>1020</v>
      </c>
      <c r="C33" s="10" t="n">
        <v>3</v>
      </c>
      <c r="D33" s="119" t="s">
        <v>1018</v>
      </c>
      <c r="E33" s="10" t="n">
        <v>4</v>
      </c>
      <c r="F33" s="10" t="n">
        <v>0.8</v>
      </c>
      <c r="G33" s="10" t="n">
        <f aca="false">F33*E33*C33</f>
        <v>9.6</v>
      </c>
    </row>
    <row r="34" customFormat="false" ht="14.25" hidden="false" customHeight="true" outlineLevel="0" collapsed="false">
      <c r="A34" s="118" t="n">
        <v>33</v>
      </c>
      <c r="B34" s="10" t="s">
        <v>1020</v>
      </c>
      <c r="C34" s="10" t="n">
        <v>3</v>
      </c>
      <c r="D34" s="119" t="s">
        <v>1018</v>
      </c>
      <c r="E34" s="10" t="n">
        <v>6</v>
      </c>
      <c r="F34" s="10" t="n">
        <v>0.6</v>
      </c>
      <c r="G34" s="10" t="n">
        <f aca="false">F34*E34*C34</f>
        <v>10.8</v>
      </c>
    </row>
    <row r="35" customFormat="false" ht="14.25" hidden="false" customHeight="true" outlineLevel="0" collapsed="false">
      <c r="A35" s="118" t="n">
        <v>34</v>
      </c>
      <c r="B35" s="10" t="s">
        <v>1020</v>
      </c>
      <c r="C35" s="10" t="n">
        <v>3</v>
      </c>
      <c r="D35" s="119" t="s">
        <v>1018</v>
      </c>
      <c r="E35" s="10" t="n">
        <v>8</v>
      </c>
      <c r="F35" s="10" t="n">
        <v>0.93</v>
      </c>
      <c r="G35" s="10" t="n">
        <f aca="false">F35*E35*C35</f>
        <v>22.32</v>
      </c>
    </row>
    <row r="36" customFormat="false" ht="14.25" hidden="false" customHeight="true" outlineLevel="0" collapsed="false">
      <c r="A36" s="118" t="n">
        <v>35</v>
      </c>
      <c r="B36" s="10" t="s">
        <v>1021</v>
      </c>
      <c r="C36" s="10" t="n">
        <v>3</v>
      </c>
      <c r="D36" s="119" t="s">
        <v>1018</v>
      </c>
      <c r="E36" s="10" t="n">
        <v>2</v>
      </c>
      <c r="F36" s="10" t="n">
        <v>0.82</v>
      </c>
      <c r="G36" s="10" t="n">
        <f aca="false">F36*E36*C36</f>
        <v>4.92</v>
      </c>
    </row>
    <row r="37" customFormat="false" ht="14.25" hidden="false" customHeight="true" outlineLevel="0" collapsed="false">
      <c r="A37" s="118" t="n">
        <v>36</v>
      </c>
      <c r="B37" s="10" t="s">
        <v>1021</v>
      </c>
      <c r="C37" s="10" t="n">
        <v>3</v>
      </c>
      <c r="D37" s="119" t="s">
        <v>1018</v>
      </c>
      <c r="E37" s="10" t="n">
        <v>2</v>
      </c>
      <c r="F37" s="10" t="n">
        <v>4.82</v>
      </c>
      <c r="G37" s="10" t="n">
        <f aca="false">F37*E37*C37</f>
        <v>28.92</v>
      </c>
    </row>
    <row r="38" customFormat="false" ht="14.25" hidden="false" customHeight="true" outlineLevel="0" collapsed="false">
      <c r="A38" s="118" t="n">
        <v>37</v>
      </c>
      <c r="B38" s="10" t="s">
        <v>1021</v>
      </c>
      <c r="C38" s="10" t="n">
        <v>3</v>
      </c>
      <c r="D38" s="119" t="s">
        <v>1018</v>
      </c>
      <c r="E38" s="10" t="n">
        <v>2</v>
      </c>
      <c r="F38" s="10" t="n">
        <v>4</v>
      </c>
      <c r="G38" s="10" t="n">
        <f aca="false">F38*E38*C38</f>
        <v>24</v>
      </c>
    </row>
    <row r="39" customFormat="false" ht="14.25" hidden="false" customHeight="true" outlineLevel="0" collapsed="false">
      <c r="A39" s="118" t="n">
        <v>38</v>
      </c>
      <c r="B39" s="10" t="s">
        <v>1021</v>
      </c>
      <c r="C39" s="10" t="n">
        <v>3</v>
      </c>
      <c r="D39" s="119" t="s">
        <v>1018</v>
      </c>
      <c r="E39" s="10" t="n">
        <v>2</v>
      </c>
      <c r="F39" s="10" t="n">
        <v>0.139</v>
      </c>
      <c r="G39" s="10" t="n">
        <f aca="false">F39*E39*C39</f>
        <v>0.834</v>
      </c>
    </row>
    <row r="40" customFormat="false" ht="14.25" hidden="false" customHeight="true" outlineLevel="0" collapsed="false">
      <c r="A40" s="118" t="n">
        <v>39</v>
      </c>
      <c r="B40" s="10" t="s">
        <v>1021</v>
      </c>
      <c r="C40" s="10" t="n">
        <v>3</v>
      </c>
      <c r="D40" s="119" t="s">
        <v>1018</v>
      </c>
      <c r="E40" s="10" t="n">
        <v>2</v>
      </c>
      <c r="F40" s="10" t="n">
        <v>0.536</v>
      </c>
      <c r="G40" s="10" t="n">
        <f aca="false">F40*E40*C40</f>
        <v>3.216</v>
      </c>
    </row>
    <row r="41" customFormat="false" ht="14.25" hidden="false" customHeight="true" outlineLevel="0" collapsed="false">
      <c r="A41" s="118" t="n">
        <v>40</v>
      </c>
      <c r="B41" s="10" t="s">
        <v>1021</v>
      </c>
      <c r="C41" s="10" t="n">
        <v>3</v>
      </c>
      <c r="D41" s="119" t="s">
        <v>1018</v>
      </c>
      <c r="E41" s="10" t="n">
        <v>2</v>
      </c>
      <c r="F41" s="10" t="n">
        <v>0.622</v>
      </c>
      <c r="G41" s="10" t="n">
        <f aca="false">F41*E41*C41</f>
        <v>3.732</v>
      </c>
    </row>
    <row r="42" customFormat="false" ht="14.25" hidden="false" customHeight="true" outlineLevel="0" collapsed="false">
      <c r="A42" s="118" t="n">
        <v>41</v>
      </c>
      <c r="B42" s="10" t="s">
        <v>1021</v>
      </c>
      <c r="C42" s="10" t="n">
        <v>3</v>
      </c>
      <c r="D42" s="119" t="s">
        <v>1018</v>
      </c>
      <c r="E42" s="10" t="n">
        <v>6</v>
      </c>
      <c r="F42" s="10" t="n">
        <v>0.6</v>
      </c>
      <c r="G42" s="10" t="n">
        <f aca="false">F42*E42*C42</f>
        <v>10.8</v>
      </c>
    </row>
    <row r="43" customFormat="false" ht="14.25" hidden="false" customHeight="true" outlineLevel="0" collapsed="false">
      <c r="A43" s="118" t="n">
        <v>42</v>
      </c>
      <c r="B43" s="10" t="s">
        <v>1021</v>
      </c>
      <c r="C43" s="10" t="n">
        <v>3</v>
      </c>
      <c r="D43" s="119" t="s">
        <v>1018</v>
      </c>
      <c r="E43" s="10" t="n">
        <v>8</v>
      </c>
      <c r="F43" s="10" t="n">
        <v>0.8</v>
      </c>
      <c r="G43" s="10" t="n">
        <f aca="false">F43*E43*C43</f>
        <v>19.2</v>
      </c>
    </row>
    <row r="44" customFormat="false" ht="14.25" hidden="false" customHeight="true" outlineLevel="0" collapsed="false">
      <c r="A44" s="118" t="n">
        <v>43</v>
      </c>
      <c r="B44" s="10" t="s">
        <v>1022</v>
      </c>
      <c r="C44" s="10" t="n">
        <v>1</v>
      </c>
      <c r="D44" s="119" t="s">
        <v>1018</v>
      </c>
      <c r="E44" s="10" t="n">
        <v>2</v>
      </c>
      <c r="F44" s="10" t="n">
        <v>4.2</v>
      </c>
      <c r="G44" s="10" t="n">
        <f aca="false">F44*E44*C44</f>
        <v>8.4</v>
      </c>
    </row>
    <row r="45" customFormat="false" ht="14.25" hidden="false" customHeight="true" outlineLevel="0" collapsed="false">
      <c r="A45" s="118" t="n">
        <v>44</v>
      </c>
      <c r="B45" s="10" t="s">
        <v>1022</v>
      </c>
      <c r="C45" s="10" t="n">
        <v>1</v>
      </c>
      <c r="D45" s="119" t="s">
        <v>1018</v>
      </c>
      <c r="E45" s="10" t="n">
        <v>2</v>
      </c>
      <c r="F45" s="10" t="n">
        <v>4.2</v>
      </c>
      <c r="G45" s="10" t="n">
        <f aca="false">F45*E45*C45</f>
        <v>8.4</v>
      </c>
    </row>
    <row r="46" customFormat="false" ht="14.25" hidden="false" customHeight="true" outlineLevel="0" collapsed="false">
      <c r="A46" s="118" t="n">
        <v>45</v>
      </c>
      <c r="B46" s="10" t="s">
        <v>1022</v>
      </c>
      <c r="C46" s="10" t="n">
        <v>1</v>
      </c>
      <c r="D46" s="119" t="s">
        <v>1018</v>
      </c>
      <c r="E46" s="10" t="n">
        <v>4</v>
      </c>
      <c r="F46" s="10" t="n">
        <v>0.82</v>
      </c>
      <c r="G46" s="10" t="n">
        <f aca="false">F46*E46*C46</f>
        <v>3.28</v>
      </c>
    </row>
    <row r="47" customFormat="false" ht="14.25" hidden="false" customHeight="true" outlineLevel="0" collapsed="false">
      <c r="A47" s="118" t="n">
        <v>46</v>
      </c>
      <c r="B47" s="10" t="s">
        <v>1022</v>
      </c>
      <c r="C47" s="10" t="n">
        <v>1</v>
      </c>
      <c r="D47" s="119" t="s">
        <v>1018</v>
      </c>
      <c r="E47" s="10" t="n">
        <v>8</v>
      </c>
      <c r="F47" s="10" t="n">
        <v>0.78</v>
      </c>
      <c r="G47" s="10" t="n">
        <f aca="false">F47*E47*C47</f>
        <v>6.24</v>
      </c>
    </row>
    <row r="48" customFormat="false" ht="14.25" hidden="false" customHeight="true" outlineLevel="0" collapsed="false">
      <c r="A48" s="118" t="n">
        <v>47</v>
      </c>
      <c r="B48" s="10" t="s">
        <v>1022</v>
      </c>
      <c r="C48" s="10" t="n">
        <v>1</v>
      </c>
      <c r="D48" s="119" t="s">
        <v>1018</v>
      </c>
      <c r="E48" s="10" t="n">
        <v>6</v>
      </c>
      <c r="F48" s="10" t="n">
        <v>0.6</v>
      </c>
      <c r="G48" s="10" t="n">
        <f aca="false">F48*E48*C48</f>
        <v>3.6</v>
      </c>
    </row>
    <row r="49" customFormat="false" ht="14.25" hidden="false" customHeight="true" outlineLevel="0" collapsed="false">
      <c r="A49" s="118" t="n">
        <v>48</v>
      </c>
      <c r="B49" s="10" t="s">
        <v>1023</v>
      </c>
      <c r="C49" s="10" t="n">
        <v>3</v>
      </c>
      <c r="D49" s="119" t="s">
        <v>1018</v>
      </c>
      <c r="E49" s="10" t="n">
        <v>4</v>
      </c>
      <c r="F49" s="10" t="n">
        <v>3.83</v>
      </c>
      <c r="G49" s="10" t="n">
        <f aca="false">F49*E49*C49</f>
        <v>45.96</v>
      </c>
    </row>
    <row r="50" customFormat="false" ht="14.25" hidden="false" customHeight="true" outlineLevel="0" collapsed="false">
      <c r="A50" s="118" t="n">
        <v>49</v>
      </c>
      <c r="B50" s="10" t="s">
        <v>1023</v>
      </c>
      <c r="C50" s="10" t="n">
        <v>3</v>
      </c>
      <c r="D50" s="119" t="s">
        <v>1018</v>
      </c>
      <c r="E50" s="10" t="n">
        <v>4</v>
      </c>
      <c r="F50" s="10" t="n">
        <v>0.8</v>
      </c>
      <c r="G50" s="10" t="n">
        <f aca="false">F50*E50*C50</f>
        <v>9.6</v>
      </c>
    </row>
    <row r="51" customFormat="false" ht="14.25" hidden="false" customHeight="true" outlineLevel="0" collapsed="false">
      <c r="A51" s="118" t="n">
        <v>50</v>
      </c>
      <c r="B51" s="10" t="s">
        <v>1023</v>
      </c>
      <c r="C51" s="10" t="n">
        <v>3</v>
      </c>
      <c r="D51" s="119" t="s">
        <v>1018</v>
      </c>
      <c r="E51" s="10" t="n">
        <v>6</v>
      </c>
      <c r="F51" s="10" t="n">
        <v>0.6</v>
      </c>
      <c r="G51" s="10" t="n">
        <f aca="false">F51*E51*C51</f>
        <v>10.8</v>
      </c>
    </row>
    <row r="52" customFormat="false" ht="14.25" hidden="false" customHeight="true" outlineLevel="0" collapsed="false">
      <c r="A52" s="118" t="n">
        <v>51</v>
      </c>
      <c r="B52" s="10" t="s">
        <v>1023</v>
      </c>
      <c r="C52" s="10" t="n">
        <v>3</v>
      </c>
      <c r="D52" s="119" t="s">
        <v>1018</v>
      </c>
      <c r="E52" s="10" t="n">
        <v>8</v>
      </c>
      <c r="F52" s="10" t="n">
        <v>0.925</v>
      </c>
      <c r="G52" s="10" t="n">
        <f aca="false">F52*E52*C52</f>
        <v>22.2</v>
      </c>
    </row>
    <row r="53" customFormat="false" ht="14.25" hidden="false" customHeight="true" outlineLevel="0" collapsed="false">
      <c r="A53" s="118" t="n">
        <v>52</v>
      </c>
      <c r="B53" s="10" t="s">
        <v>1024</v>
      </c>
      <c r="C53" s="10" t="n">
        <v>4</v>
      </c>
      <c r="D53" s="119" t="s">
        <v>1018</v>
      </c>
      <c r="E53" s="10" t="n">
        <v>2</v>
      </c>
      <c r="F53" s="10" t="n">
        <v>0.82</v>
      </c>
      <c r="G53" s="10" t="n">
        <f aca="false">F53*E53*C53</f>
        <v>6.56</v>
      </c>
    </row>
    <row r="54" customFormat="false" ht="14.25" hidden="false" customHeight="true" outlineLevel="0" collapsed="false">
      <c r="A54" s="118" t="n">
        <v>53</v>
      </c>
      <c r="B54" s="10" t="s">
        <v>1024</v>
      </c>
      <c r="C54" s="10" t="n">
        <v>4</v>
      </c>
      <c r="D54" s="119" t="s">
        <v>1018</v>
      </c>
      <c r="E54" s="10" t="n">
        <v>2</v>
      </c>
      <c r="F54" s="10" t="n">
        <v>5.5</v>
      </c>
      <c r="G54" s="10" t="n">
        <f aca="false">F54*E54*C54</f>
        <v>44</v>
      </c>
    </row>
    <row r="55" customFormat="false" ht="14.25" hidden="false" customHeight="true" outlineLevel="0" collapsed="false">
      <c r="A55" s="118" t="n">
        <v>54</v>
      </c>
      <c r="B55" s="10" t="s">
        <v>1024</v>
      </c>
      <c r="C55" s="10" t="n">
        <v>4</v>
      </c>
      <c r="D55" s="119" t="s">
        <v>1018</v>
      </c>
      <c r="E55" s="10" t="n">
        <v>5</v>
      </c>
      <c r="F55" s="10" t="n">
        <v>0.82</v>
      </c>
      <c r="G55" s="10" t="n">
        <f aca="false">F55*E55*C55</f>
        <v>16.4</v>
      </c>
    </row>
    <row r="56" customFormat="false" ht="14.25" hidden="false" customHeight="true" outlineLevel="0" collapsed="false">
      <c r="A56" s="118" t="n">
        <v>55</v>
      </c>
      <c r="B56" s="10" t="s">
        <v>1024</v>
      </c>
      <c r="C56" s="10" t="n">
        <v>4</v>
      </c>
      <c r="D56" s="119" t="s">
        <v>1018</v>
      </c>
      <c r="E56" s="10" t="n">
        <v>4</v>
      </c>
      <c r="F56" s="10" t="n">
        <v>0.6</v>
      </c>
      <c r="G56" s="10" t="n">
        <f aca="false">F56*E56*C56</f>
        <v>9.6</v>
      </c>
    </row>
    <row r="57" customFormat="false" ht="14.25" hidden="false" customHeight="true" outlineLevel="0" collapsed="false">
      <c r="A57" s="118" t="n">
        <v>56</v>
      </c>
      <c r="B57" s="10" t="s">
        <v>1025</v>
      </c>
      <c r="C57" s="10" t="n">
        <v>4</v>
      </c>
      <c r="D57" s="119" t="s">
        <v>1018</v>
      </c>
      <c r="E57" s="10" t="n">
        <v>1</v>
      </c>
      <c r="F57" s="10" t="n">
        <v>0.82</v>
      </c>
      <c r="G57" s="10" t="n">
        <f aca="false">F57*E57*C57</f>
        <v>3.28</v>
      </c>
    </row>
    <row r="58" customFormat="false" ht="14.25" hidden="false" customHeight="true" outlineLevel="0" collapsed="false">
      <c r="A58" s="118" t="n">
        <v>57</v>
      </c>
      <c r="B58" s="10" t="s">
        <v>1025</v>
      </c>
      <c r="C58" s="10" t="n">
        <v>4</v>
      </c>
      <c r="D58" s="119" t="s">
        <v>1018</v>
      </c>
      <c r="E58" s="10" t="n">
        <v>1</v>
      </c>
      <c r="F58" s="10" t="n">
        <v>4.16</v>
      </c>
      <c r="G58" s="10" t="n">
        <f aca="false">F58*E58*C58</f>
        <v>16.64</v>
      </c>
    </row>
    <row r="59" customFormat="false" ht="14.25" hidden="false" customHeight="true" outlineLevel="0" collapsed="false">
      <c r="A59" s="118" t="n">
        <v>58</v>
      </c>
      <c r="B59" s="10" t="s">
        <v>1025</v>
      </c>
      <c r="C59" s="10" t="n">
        <v>4</v>
      </c>
      <c r="D59" s="119" t="s">
        <v>1018</v>
      </c>
      <c r="E59" s="10" t="n">
        <v>1</v>
      </c>
      <c r="F59" s="10" t="n">
        <v>0.139</v>
      </c>
      <c r="G59" s="10" t="n">
        <f aca="false">F59*E59*C59</f>
        <v>0.556</v>
      </c>
    </row>
    <row r="60" customFormat="false" ht="14.25" hidden="false" customHeight="true" outlineLevel="0" collapsed="false">
      <c r="A60" s="118" t="n">
        <v>59</v>
      </c>
      <c r="B60" s="10" t="s">
        <v>1025</v>
      </c>
      <c r="C60" s="10" t="n">
        <v>4</v>
      </c>
      <c r="D60" s="119" t="s">
        <v>1018</v>
      </c>
      <c r="E60" s="10" t="n">
        <v>1</v>
      </c>
      <c r="F60" s="10" t="n">
        <v>1.38</v>
      </c>
      <c r="G60" s="10" t="n">
        <f aca="false">F60*E60*C60</f>
        <v>5.52</v>
      </c>
    </row>
    <row r="61" customFormat="false" ht="14.25" hidden="false" customHeight="true" outlineLevel="0" collapsed="false">
      <c r="A61" s="118" t="n">
        <v>60</v>
      </c>
      <c r="B61" s="10" t="s">
        <v>1025</v>
      </c>
      <c r="C61" s="10" t="n">
        <v>4</v>
      </c>
      <c r="D61" s="119" t="s">
        <v>1018</v>
      </c>
      <c r="E61" s="10" t="n">
        <v>1</v>
      </c>
      <c r="F61" s="10" t="n">
        <v>6.1</v>
      </c>
      <c r="G61" s="10" t="n">
        <f aca="false">F61*E61*C61</f>
        <v>24.4</v>
      </c>
    </row>
    <row r="62" customFormat="false" ht="14.25" hidden="false" customHeight="true" outlineLevel="0" collapsed="false">
      <c r="A62" s="118" t="n">
        <v>61</v>
      </c>
      <c r="B62" s="10" t="s">
        <v>1025</v>
      </c>
      <c r="C62" s="10" t="n">
        <v>4</v>
      </c>
      <c r="D62" s="119" t="s">
        <v>1018</v>
      </c>
      <c r="E62" s="10" t="n">
        <v>1</v>
      </c>
      <c r="F62" s="10" t="n">
        <v>0.622</v>
      </c>
      <c r="G62" s="10" t="n">
        <f aca="false">F62*E62*C62</f>
        <v>2.488</v>
      </c>
    </row>
    <row r="63" customFormat="false" ht="14.25" hidden="false" customHeight="true" outlineLevel="0" collapsed="false">
      <c r="A63" s="118" t="n">
        <v>62</v>
      </c>
      <c r="B63" s="10" t="s">
        <v>1025</v>
      </c>
      <c r="C63" s="10" t="n">
        <v>4</v>
      </c>
      <c r="D63" s="119" t="s">
        <v>1018</v>
      </c>
      <c r="E63" s="10" t="n">
        <v>4</v>
      </c>
      <c r="F63" s="10" t="n">
        <v>0.602</v>
      </c>
      <c r="G63" s="10" t="n">
        <f aca="false">F63*E63*C63</f>
        <v>9.632</v>
      </c>
    </row>
    <row r="64" customFormat="false" ht="14.25" hidden="false" customHeight="true" outlineLevel="0" collapsed="false">
      <c r="A64" s="118" t="n">
        <v>63</v>
      </c>
      <c r="B64" s="10" t="s">
        <v>1025</v>
      </c>
      <c r="C64" s="10" t="n">
        <v>4</v>
      </c>
      <c r="D64" s="119" t="s">
        <v>1018</v>
      </c>
      <c r="E64" s="10" t="n">
        <v>3</v>
      </c>
      <c r="F64" s="10" t="n">
        <v>0.728</v>
      </c>
      <c r="G64" s="10" t="n">
        <f aca="false">F64*E64*C64</f>
        <v>8.736</v>
      </c>
    </row>
    <row r="65" customFormat="false" ht="14.25" hidden="false" customHeight="true" outlineLevel="0" collapsed="false">
      <c r="A65" s="118" t="n">
        <v>64</v>
      </c>
      <c r="B65" s="10" t="s">
        <v>1025</v>
      </c>
      <c r="C65" s="10" t="n">
        <v>4</v>
      </c>
      <c r="D65" s="119" t="s">
        <v>1018</v>
      </c>
      <c r="E65" s="10" t="n">
        <v>1</v>
      </c>
      <c r="F65" s="10" t="n">
        <v>0.615</v>
      </c>
      <c r="G65" s="10" t="n">
        <f aca="false">F65*E65*C65</f>
        <v>2.46</v>
      </c>
    </row>
    <row r="66" customFormat="false" ht="14.25" hidden="false" customHeight="true" outlineLevel="0" collapsed="false">
      <c r="A66" s="118" t="n">
        <v>65</v>
      </c>
      <c r="B66" s="10" t="s">
        <v>1026</v>
      </c>
      <c r="C66" s="10" t="n">
        <v>20</v>
      </c>
      <c r="D66" s="119" t="s">
        <v>1027</v>
      </c>
      <c r="E66" s="10" t="n">
        <v>2</v>
      </c>
      <c r="F66" s="10" t="n">
        <v>3.84</v>
      </c>
      <c r="G66" s="10" t="n">
        <f aca="false">F66*E66*C66</f>
        <v>153.6</v>
      </c>
    </row>
    <row r="67" customFormat="false" ht="14.25" hidden="false" customHeight="true" outlineLevel="0" collapsed="false">
      <c r="A67" s="118" t="n">
        <v>66</v>
      </c>
      <c r="B67" s="10" t="s">
        <v>1026</v>
      </c>
      <c r="C67" s="10" t="n">
        <v>20</v>
      </c>
      <c r="D67" s="119" t="s">
        <v>1027</v>
      </c>
      <c r="E67" s="10" t="n">
        <v>2</v>
      </c>
      <c r="F67" s="10" t="n">
        <v>0.709</v>
      </c>
      <c r="G67" s="10" t="n">
        <f aca="false">F67*E67*C67</f>
        <v>28.36</v>
      </c>
    </row>
    <row r="68" customFormat="false" ht="14.25" hidden="false" customHeight="true" outlineLevel="0" collapsed="false">
      <c r="A68" s="118" t="n">
        <v>67</v>
      </c>
      <c r="B68" s="10" t="s">
        <v>1026</v>
      </c>
      <c r="C68" s="10" t="n">
        <v>20</v>
      </c>
      <c r="D68" s="119" t="s">
        <v>1027</v>
      </c>
      <c r="E68" s="10" t="n">
        <v>4</v>
      </c>
      <c r="F68" s="10" t="n">
        <v>0.509</v>
      </c>
      <c r="G68" s="10" t="n">
        <f aca="false">F68*E68*C68</f>
        <v>40.72</v>
      </c>
    </row>
    <row r="69" customFormat="false" ht="14.25" hidden="false" customHeight="true" outlineLevel="0" collapsed="false">
      <c r="A69" s="118" t="n">
        <v>68</v>
      </c>
      <c r="B69" s="10" t="s">
        <v>1026</v>
      </c>
      <c r="C69" s="10" t="n">
        <v>20</v>
      </c>
      <c r="D69" s="119" t="s">
        <v>1027</v>
      </c>
      <c r="E69" s="10" t="n">
        <v>5</v>
      </c>
      <c r="F69" s="10" t="n">
        <v>0.727</v>
      </c>
      <c r="G69" s="10" t="n">
        <f aca="false">F69*E69*C69</f>
        <v>72.7</v>
      </c>
    </row>
    <row r="70" customFormat="false" ht="14.25" hidden="false" customHeight="true" outlineLevel="0" collapsed="false">
      <c r="A70" s="118" t="n">
        <v>69</v>
      </c>
      <c r="B70" s="10" t="s">
        <v>1028</v>
      </c>
      <c r="C70" s="10" t="n">
        <v>1</v>
      </c>
      <c r="D70" s="119" t="s">
        <v>1027</v>
      </c>
      <c r="E70" s="10" t="n">
        <v>1</v>
      </c>
      <c r="F70" s="10" t="n">
        <v>16.2</v>
      </c>
      <c r="G70" s="10" t="n">
        <f aca="false">F70*E70*C70</f>
        <v>16.2</v>
      </c>
    </row>
    <row r="71" customFormat="false" ht="14.25" hidden="false" customHeight="true" outlineLevel="0" collapsed="false">
      <c r="A71" s="118" t="n">
        <v>70</v>
      </c>
      <c r="B71" s="10" t="s">
        <v>1028</v>
      </c>
      <c r="C71" s="10" t="n">
        <v>1</v>
      </c>
      <c r="D71" s="119" t="s">
        <v>1027</v>
      </c>
      <c r="E71" s="10" t="n">
        <v>1</v>
      </c>
      <c r="F71" s="10" t="n">
        <v>25.4</v>
      </c>
      <c r="G71" s="10" t="n">
        <f aca="false">F71*E71*C71</f>
        <v>25.4</v>
      </c>
    </row>
    <row r="72" customFormat="false" ht="14.25" hidden="false" customHeight="true" outlineLevel="0" collapsed="false">
      <c r="A72" s="118" t="n">
        <v>71</v>
      </c>
      <c r="B72" s="10" t="s">
        <v>1028</v>
      </c>
      <c r="C72" s="10" t="n">
        <v>1</v>
      </c>
      <c r="D72" s="119" t="s">
        <v>1027</v>
      </c>
      <c r="E72" s="10" t="n">
        <v>1</v>
      </c>
      <c r="F72" s="10" t="n">
        <v>35</v>
      </c>
      <c r="G72" s="10" t="n">
        <f aca="false">F72*E72*C72</f>
        <v>35</v>
      </c>
    </row>
    <row r="73" customFormat="false" ht="14.25" hidden="false" customHeight="true" outlineLevel="0" collapsed="false">
      <c r="A73" s="118" t="n">
        <v>72</v>
      </c>
      <c r="B73" s="10" t="s">
        <v>1028</v>
      </c>
      <c r="C73" s="10" t="n">
        <v>1</v>
      </c>
      <c r="D73" s="119" t="s">
        <v>1027</v>
      </c>
      <c r="E73" s="10" t="n">
        <v>1</v>
      </c>
      <c r="F73" s="10" t="n">
        <v>44.6</v>
      </c>
      <c r="G73" s="10" t="n">
        <f aca="false">F73*E73*C73</f>
        <v>44.6</v>
      </c>
    </row>
    <row r="74" customFormat="false" ht="14.25" hidden="false" customHeight="true" outlineLevel="0" collapsed="false">
      <c r="A74" s="118" t="n">
        <v>73</v>
      </c>
      <c r="B74" s="10" t="s">
        <v>1028</v>
      </c>
      <c r="C74" s="10" t="n">
        <v>1</v>
      </c>
      <c r="D74" s="119" t="s">
        <v>1027</v>
      </c>
      <c r="E74" s="10" t="n">
        <v>1</v>
      </c>
      <c r="F74" s="10" t="n">
        <v>54.2</v>
      </c>
      <c r="G74" s="10" t="n">
        <f aca="false">F74*E74*C74</f>
        <v>54.2</v>
      </c>
    </row>
    <row r="75" customFormat="false" ht="14.25" hidden="false" customHeight="true" outlineLevel="0" collapsed="false">
      <c r="A75" s="118" t="n">
        <v>74</v>
      </c>
      <c r="B75" s="10" t="s">
        <v>1028</v>
      </c>
      <c r="C75" s="10" t="n">
        <v>1</v>
      </c>
      <c r="D75" s="119" t="s">
        <v>1027</v>
      </c>
      <c r="E75" s="10" t="n">
        <v>1</v>
      </c>
      <c r="F75" s="10" t="n">
        <v>63.8</v>
      </c>
      <c r="G75" s="10" t="n">
        <f aca="false">F75*E75*C75</f>
        <v>63.8</v>
      </c>
    </row>
    <row r="76" customFormat="false" ht="14.25" hidden="false" customHeight="true" outlineLevel="0" collapsed="false">
      <c r="A76" s="118" t="n">
        <v>75</v>
      </c>
      <c r="B76" s="10" t="s">
        <v>1028</v>
      </c>
      <c r="C76" s="10" t="n">
        <v>1</v>
      </c>
      <c r="D76" s="119" t="s">
        <v>1027</v>
      </c>
      <c r="E76" s="10" t="n">
        <v>1</v>
      </c>
      <c r="F76" s="10" t="n">
        <v>73.4</v>
      </c>
      <c r="G76" s="10" t="n">
        <f aca="false">F76*E76*C76</f>
        <v>73.4</v>
      </c>
    </row>
    <row r="77" customFormat="false" ht="14.25" hidden="false" customHeight="true" outlineLevel="0" collapsed="false">
      <c r="A77" s="118" t="n">
        <v>76</v>
      </c>
      <c r="B77" s="10" t="s">
        <v>1028</v>
      </c>
      <c r="C77" s="10" t="n">
        <v>1</v>
      </c>
      <c r="D77" s="119" t="s">
        <v>1027</v>
      </c>
      <c r="E77" s="10" t="n">
        <v>1</v>
      </c>
      <c r="F77" s="10" t="n">
        <v>83.6</v>
      </c>
      <c r="G77" s="10" t="n">
        <f aca="false">F77*E77*C77</f>
        <v>83.6</v>
      </c>
    </row>
    <row r="82" customFormat="false" ht="14.25" hidden="false" customHeight="true" outlineLevel="0" collapsed="false">
      <c r="J82" s="119" t="s">
        <v>1018</v>
      </c>
      <c r="K82" s="10" t="n">
        <f aca="false">SUM(G2:G65)</f>
        <v>775.88</v>
      </c>
    </row>
    <row r="83" customFormat="false" ht="14.25" hidden="false" customHeight="true" outlineLevel="0" collapsed="false">
      <c r="J83" s="119" t="s">
        <v>1027</v>
      </c>
      <c r="K83" s="10" t="n">
        <f aca="false">SUM(G66:G77)</f>
        <v>691.58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28"/>
    <col collapsed="false" customWidth="true" hidden="false" outlineLevel="0" max="3" min="3" style="10" width="24.86"/>
  </cols>
  <sheetData>
    <row r="1" customFormat="false" ht="14.25" hidden="false" customHeight="true" outlineLevel="0" collapsed="false">
      <c r="A1" s="10" t="s">
        <v>365</v>
      </c>
      <c r="B1" s="10" t="s">
        <v>1029</v>
      </c>
      <c r="C1" s="10" t="s">
        <v>1030</v>
      </c>
    </row>
    <row r="2" customFormat="false" ht="14.25" hidden="false" customHeight="true" outlineLevel="0" collapsed="false">
      <c r="A2" s="10" t="s">
        <v>1031</v>
      </c>
      <c r="B2" s="10" t="s">
        <v>1032</v>
      </c>
      <c r="C2" s="10" t="str">
        <f aca="false">_xlfn.CONCAT(A2,"-",B2)</f>
        <v>01.UG-Under Ground</v>
      </c>
    </row>
    <row r="3" customFormat="false" ht="14.25" hidden="false" customHeight="true" outlineLevel="0" collapsed="false">
      <c r="A3" s="10" t="s">
        <v>1033</v>
      </c>
      <c r="B3" s="10" t="s">
        <v>825</v>
      </c>
      <c r="C3" s="10" t="str">
        <f aca="false">_xlfn.CONCAT(A3,"-",B3)</f>
        <v>02.GF-Ground Floor</v>
      </c>
    </row>
    <row r="4" customFormat="false" ht="14.25" hidden="false" customHeight="true" outlineLevel="0" collapsed="false">
      <c r="A4" s="10" t="s">
        <v>1034</v>
      </c>
      <c r="B4" s="10" t="s">
        <v>1035</v>
      </c>
      <c r="C4" s="10" t="str">
        <f aca="false">_xlfn.CONCAT(A4,"-",B4)</f>
        <v>03.MZ-Mezzanine Floor</v>
      </c>
    </row>
    <row r="5" customFormat="false" ht="14.25" hidden="false" customHeight="true" outlineLevel="0" collapsed="false">
      <c r="A5" s="10" t="s">
        <v>1036</v>
      </c>
      <c r="B5" s="10" t="s">
        <v>1037</v>
      </c>
      <c r="C5" s="10" t="str">
        <f aca="false">_xlfn.CONCAT(A5,"-",B5)</f>
        <v>04.L01-L01 Floor</v>
      </c>
    </row>
    <row r="6" customFormat="false" ht="14.25" hidden="false" customHeight="true" outlineLevel="0" collapsed="false">
      <c r="A6" s="10" t="s">
        <v>1038</v>
      </c>
      <c r="B6" s="10" t="s">
        <v>1039</v>
      </c>
      <c r="C6" s="10" t="str">
        <f aca="false">_xlfn.CONCAT(A6,"-",B6)</f>
        <v>05.L02-L02 Floor</v>
      </c>
    </row>
    <row r="7" customFormat="false" ht="14.25" hidden="false" customHeight="true" outlineLevel="0" collapsed="false">
      <c r="A7" s="10" t="s">
        <v>1040</v>
      </c>
      <c r="B7" s="10" t="s">
        <v>1041</v>
      </c>
      <c r="C7" s="10" t="str">
        <f aca="false">_xlfn.CONCAT(A7,"-",B7)</f>
        <v>06.L03-L03 Floor</v>
      </c>
    </row>
    <row r="8" customFormat="false" ht="14.25" hidden="false" customHeight="true" outlineLevel="0" collapsed="false">
      <c r="A8" s="10" t="s">
        <v>1042</v>
      </c>
      <c r="B8" s="10" t="s">
        <v>1043</v>
      </c>
      <c r="C8" s="10" t="str">
        <f aca="false">_xlfn.CONCAT(A8,"-",B8)</f>
        <v>07.L04-L04 Floor</v>
      </c>
    </row>
    <row r="9" customFormat="false" ht="14.25" hidden="false" customHeight="true" outlineLevel="0" collapsed="false">
      <c r="A9" s="10" t="s">
        <v>1044</v>
      </c>
      <c r="B9" s="10" t="s">
        <v>1045</v>
      </c>
      <c r="C9" s="10" t="str">
        <f aca="false">_xlfn.CONCAT(A9,"-",B9)</f>
        <v>08.L05-L05 Floor</v>
      </c>
    </row>
    <row r="10" customFormat="false" ht="14.25" hidden="false" customHeight="true" outlineLevel="0" collapsed="false">
      <c r="A10" s="10" t="s">
        <v>1046</v>
      </c>
      <c r="B10" s="10" t="s">
        <v>1047</v>
      </c>
      <c r="C10" s="10" t="str">
        <f aca="false">_xlfn.CONCAT(A10,"-",B10)</f>
        <v>09.L06-L06 Floor</v>
      </c>
    </row>
    <row r="11" customFormat="false" ht="14.25" hidden="false" customHeight="true" outlineLevel="0" collapsed="false">
      <c r="A11" s="10" t="s">
        <v>1048</v>
      </c>
      <c r="B11" s="10" t="s">
        <v>1049</v>
      </c>
      <c r="C11" s="10" t="str">
        <f aca="false">_xlfn.CONCAT(A11,"-",B11)</f>
        <v>10.L07-L07 Floor</v>
      </c>
    </row>
    <row r="12" customFormat="false" ht="14.25" hidden="false" customHeight="true" outlineLevel="0" collapsed="false">
      <c r="A12" s="10" t="s">
        <v>1050</v>
      </c>
      <c r="B12" s="10" t="s">
        <v>1051</v>
      </c>
      <c r="C12" s="10" t="str">
        <f aca="false">_xlfn.CONCAT(A12,"-",B12)</f>
        <v>11.L08-L08 Floor</v>
      </c>
    </row>
    <row r="13" customFormat="false" ht="14.25" hidden="false" customHeight="true" outlineLevel="0" collapsed="false">
      <c r="A13" s="10" t="s">
        <v>1052</v>
      </c>
      <c r="B13" s="10" t="s">
        <v>1053</v>
      </c>
      <c r="C13" s="10" t="str">
        <f aca="false">_xlfn.CONCAT(A13,"-",B13)</f>
        <v>12.L09-L09 Floor</v>
      </c>
    </row>
    <row r="14" customFormat="false" ht="14.25" hidden="false" customHeight="true" outlineLevel="0" collapsed="false">
      <c r="A14" s="10" t="s">
        <v>1054</v>
      </c>
      <c r="B14" s="10" t="s">
        <v>1055</v>
      </c>
      <c r="C14" s="10" t="str">
        <f aca="false">_xlfn.CONCAT(A14,"-",B14)</f>
        <v>13.L10-L10 Floor</v>
      </c>
    </row>
    <row r="15" customFormat="false" ht="14.25" hidden="false" customHeight="true" outlineLevel="0" collapsed="false">
      <c r="A15" s="10" t="s">
        <v>1056</v>
      </c>
      <c r="B15" s="10" t="s">
        <v>1057</v>
      </c>
      <c r="C15" s="10" t="str">
        <f aca="false">_xlfn.CONCAT(A15,"-",B15)</f>
        <v>05.LWR-Lower Roof Floor</v>
      </c>
    </row>
    <row r="16" customFormat="false" ht="14.25" hidden="false" customHeight="true" outlineLevel="0" collapsed="false">
      <c r="A16" s="10" t="s">
        <v>1058</v>
      </c>
      <c r="B16" s="10" t="s">
        <v>1059</v>
      </c>
      <c r="C16" s="10" t="str">
        <f aca="false">_xlfn.CONCAT(A16,"-",B16)</f>
        <v>05.LRF-Roof Floor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22" activeCellId="0" sqref="I22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1.71"/>
    <col collapsed="false" customWidth="true" hidden="false" outlineLevel="0" max="3" min="3" style="10" width="15.29"/>
    <col collapsed="false" customWidth="true" hidden="false" outlineLevel="0" max="4" min="4" style="10" width="16"/>
    <col collapsed="false" customWidth="true" hidden="false" outlineLevel="0" max="5" min="5" style="10" width="17.29"/>
    <col collapsed="false" customWidth="true" hidden="false" outlineLevel="0" max="6" min="6" style="10" width="18.29"/>
    <col collapsed="false" customWidth="true" hidden="false" outlineLevel="0" max="7" min="7" style="10" width="14.42"/>
    <col collapsed="false" customWidth="true" hidden="false" outlineLevel="0" max="8" min="8" style="10" width="13.71"/>
    <col collapsed="false" customWidth="true" hidden="false" outlineLevel="0" max="11" min="9" style="10" width="16"/>
    <col collapsed="false" customWidth="true" hidden="false" outlineLevel="0" max="12" min="12" style="10" width="13.29"/>
    <col collapsed="false" customWidth="true" hidden="false" outlineLevel="0" max="13" min="13" style="10" width="17.71"/>
    <col collapsed="false" customWidth="true" hidden="false" outlineLevel="0" max="14" min="14" style="10" width="13.15"/>
    <col collapsed="false" customWidth="true" hidden="false" outlineLevel="0" max="15" min="15" style="10" width="11.71"/>
    <col collapsed="false" customWidth="true" hidden="false" outlineLevel="0" max="16" min="16" style="10" width="11.43"/>
    <col collapsed="false" customWidth="true" hidden="false" outlineLevel="0" max="17" min="17" style="10" width="18.71"/>
    <col collapsed="false" customWidth="true" hidden="false" outlineLevel="0" max="18" min="18" style="10" width="11"/>
    <col collapsed="false" customWidth="true" hidden="false" outlineLevel="0" max="19" min="19" style="10" width="12.29"/>
    <col collapsed="false" customWidth="true" hidden="false" outlineLevel="0" max="20" min="20" style="10" width="17.71"/>
    <col collapsed="false" customWidth="true" hidden="false" outlineLevel="0" max="21" min="21" style="10" width="11"/>
  </cols>
  <sheetData>
    <row r="1" customFormat="false" ht="14.25" hidden="false" customHeight="true" outlineLevel="0" collapsed="false">
      <c r="A1" s="10" t="s">
        <v>1060</v>
      </c>
      <c r="B1" s="10" t="s">
        <v>1061</v>
      </c>
      <c r="C1" s="10" t="s">
        <v>1062</v>
      </c>
      <c r="D1" s="10" t="s">
        <v>1063</v>
      </c>
      <c r="E1" s="10" t="s">
        <v>1064</v>
      </c>
      <c r="F1" s="10" t="s">
        <v>1065</v>
      </c>
      <c r="G1" s="10" t="s">
        <v>1066</v>
      </c>
      <c r="H1" s="10" t="s">
        <v>1067</v>
      </c>
      <c r="I1" s="10" t="s">
        <v>1068</v>
      </c>
      <c r="J1" s="10" t="s">
        <v>1069</v>
      </c>
      <c r="K1" s="10" t="s">
        <v>1070</v>
      </c>
      <c r="L1" s="10" t="s">
        <v>1071</v>
      </c>
      <c r="M1" s="10" t="s">
        <v>1072</v>
      </c>
      <c r="N1" s="10" t="s">
        <v>1073</v>
      </c>
      <c r="O1" s="10" t="s">
        <v>1074</v>
      </c>
      <c r="P1" s="10" t="s">
        <v>1075</v>
      </c>
      <c r="Q1" s="10" t="s">
        <v>1076</v>
      </c>
      <c r="R1" s="10" t="s">
        <v>1073</v>
      </c>
      <c r="S1" s="10" t="s">
        <v>1077</v>
      </c>
      <c r="T1" s="10" t="s">
        <v>1078</v>
      </c>
      <c r="U1" s="10" t="s">
        <v>1073</v>
      </c>
    </row>
    <row r="2" customFormat="false" ht="14.25" hidden="false" customHeight="true" outlineLevel="0" collapsed="false">
      <c r="A2" s="10" t="s">
        <v>1079</v>
      </c>
      <c r="B2" s="10" t="s">
        <v>1080</v>
      </c>
      <c r="C2" s="10" t="n">
        <v>0.25</v>
      </c>
      <c r="D2" s="10" t="n">
        <v>0.4</v>
      </c>
      <c r="E2" s="10" t="n">
        <v>56</v>
      </c>
      <c r="F2" s="10" t="n">
        <v>0.15</v>
      </c>
      <c r="G2" s="10" t="n">
        <f aca="false">((C2+0.2)+(D2-F2)*2)*E2</f>
        <v>53.2</v>
      </c>
      <c r="H2" s="10" t="n">
        <f aca="false">C2*(D2-F2)*E2</f>
        <v>3.5</v>
      </c>
      <c r="I2" s="10" t="n">
        <f aca="false">(C2+0.2)*E2*0.05</f>
        <v>1.26</v>
      </c>
      <c r="J2" s="10" t="n">
        <f aca="false">(C2+0.2)*E2*0.1</f>
        <v>2.52</v>
      </c>
      <c r="K2" s="10" t="n">
        <f aca="false">(C2+0.2)*E2</f>
        <v>25.2</v>
      </c>
      <c r="L2" s="10" t="n">
        <v>16</v>
      </c>
      <c r="M2" s="10" t="n">
        <v>6</v>
      </c>
      <c r="N2" s="10" t="n">
        <f aca="false">1.578*M2*E2</f>
        <v>530.208</v>
      </c>
      <c r="O2" s="10" t="n">
        <v>8</v>
      </c>
      <c r="P2" s="10" t="n">
        <v>1.2</v>
      </c>
      <c r="Q2" s="10" t="n">
        <f aca="false">E2/0.15</f>
        <v>373.333333333333</v>
      </c>
      <c r="R2" s="10" t="n">
        <f aca="false">0.395*P2*Q2</f>
        <v>176.96</v>
      </c>
    </row>
    <row r="3" customFormat="false" ht="14.25" hidden="false" customHeight="true" outlineLevel="0" collapsed="false">
      <c r="A3" s="10" t="s">
        <v>1079</v>
      </c>
      <c r="B3" s="10" t="s">
        <v>1081</v>
      </c>
      <c r="C3" s="10" t="n">
        <v>0.25</v>
      </c>
      <c r="D3" s="10" t="n">
        <v>0.5</v>
      </c>
      <c r="E3" s="10" t="n">
        <v>10.3</v>
      </c>
      <c r="F3" s="10" t="n">
        <v>0.2</v>
      </c>
      <c r="G3" s="10" t="n">
        <f aca="false">((C3+0.2)+(D3-F3)*2)*E3</f>
        <v>10.815</v>
      </c>
      <c r="H3" s="10" t="n">
        <f aca="false">C3*(D3-F3)*E3</f>
        <v>0.7725</v>
      </c>
      <c r="I3" s="10" t="n">
        <f aca="false">(C3+0.2)*E3*0.05</f>
        <v>0.23175</v>
      </c>
      <c r="J3" s="10" t="n">
        <f aca="false">(C3+0.2)*E3*0.1</f>
        <v>0.4635</v>
      </c>
      <c r="K3" s="10" t="n">
        <f aca="false">(C3+0.2)*E3</f>
        <v>4.635</v>
      </c>
      <c r="L3" s="10" t="n">
        <v>16</v>
      </c>
      <c r="M3" s="10" t="n">
        <v>8</v>
      </c>
      <c r="N3" s="10" t="n">
        <f aca="false">1.578*M3*E3</f>
        <v>130.0272</v>
      </c>
      <c r="O3" s="10" t="n">
        <v>8</v>
      </c>
      <c r="P3" s="10" t="n">
        <f aca="false">1.4+0.4</f>
        <v>1.8</v>
      </c>
      <c r="Q3" s="10" t="n">
        <f aca="false">E3/0.15</f>
        <v>68.6666666666667</v>
      </c>
      <c r="R3" s="10" t="n">
        <f aca="false">0.395*P3*Q3</f>
        <v>48.822</v>
      </c>
      <c r="S3" s="10" t="n">
        <v>12</v>
      </c>
      <c r="T3" s="10" t="n">
        <v>2</v>
      </c>
      <c r="U3" s="10" t="n">
        <f aca="false">0.888*T3*E3</f>
        <v>18.2928</v>
      </c>
    </row>
    <row r="4" customFormat="false" ht="14.25" hidden="false" customHeight="true" outlineLevel="0" collapsed="false">
      <c r="A4" s="10" t="s">
        <v>1079</v>
      </c>
      <c r="B4" s="10" t="s">
        <v>1082</v>
      </c>
      <c r="C4" s="10" t="n">
        <v>0.3</v>
      </c>
      <c r="D4" s="10" t="n">
        <v>0.5</v>
      </c>
      <c r="E4" s="10" t="n">
        <v>40</v>
      </c>
      <c r="F4" s="10" t="n">
        <v>0.15</v>
      </c>
      <c r="G4" s="10" t="n">
        <f aca="false">((C4+0.2)+(D4-F4)*2)*E4</f>
        <v>48</v>
      </c>
      <c r="H4" s="10" t="n">
        <f aca="false">C4*(D4-F4)*E4</f>
        <v>4.2</v>
      </c>
      <c r="I4" s="10" t="n">
        <f aca="false">(C4+0.2)*E4*0.05</f>
        <v>1</v>
      </c>
      <c r="J4" s="10" t="n">
        <f aca="false">(C4+0.2)*E4*0.1</f>
        <v>2</v>
      </c>
      <c r="K4" s="10" t="n">
        <f aca="false">(C4+0.2)*E4</f>
        <v>20</v>
      </c>
      <c r="L4" s="10" t="n">
        <v>20</v>
      </c>
      <c r="M4" s="10" t="n">
        <v>8</v>
      </c>
      <c r="N4" s="10" t="n">
        <f aca="false">2.466*M4*E4</f>
        <v>789.12</v>
      </c>
      <c r="O4" s="10" t="n">
        <v>8</v>
      </c>
      <c r="P4" s="10" t="n">
        <f aca="false">1.4+0.64+0.44</f>
        <v>2.48</v>
      </c>
      <c r="Q4" s="10" t="n">
        <f aca="false">E4/0.15</f>
        <v>266.666666666667</v>
      </c>
      <c r="R4" s="10" t="n">
        <f aca="false">0.395*P4*Q4</f>
        <v>261.226666666667</v>
      </c>
      <c r="S4" s="10" t="n">
        <v>12</v>
      </c>
      <c r="T4" s="10" t="n">
        <v>2</v>
      </c>
      <c r="U4" s="10" t="n">
        <f aca="false">0.888*T4*E4</f>
        <v>71.04</v>
      </c>
    </row>
    <row r="5" customFormat="false" ht="14.25" hidden="false" customHeight="true" outlineLevel="0" collapsed="false">
      <c r="A5" s="10" t="s">
        <v>1079</v>
      </c>
      <c r="B5" s="10" t="s">
        <v>1083</v>
      </c>
      <c r="C5" s="10" t="n">
        <v>0.3</v>
      </c>
      <c r="D5" s="10" t="n">
        <v>0.6</v>
      </c>
      <c r="E5" s="10" t="n">
        <v>7.75</v>
      </c>
      <c r="F5" s="10" t="n">
        <v>0.2</v>
      </c>
      <c r="G5" s="10" t="n">
        <f aca="false">((C5+0.2)+(D5-F5)*2)*E5</f>
        <v>10.075</v>
      </c>
      <c r="H5" s="10" t="n">
        <f aca="false">C5*(D5-F5)*E5</f>
        <v>0.93</v>
      </c>
      <c r="I5" s="10" t="n">
        <f aca="false">(C5+0.2)*E5*0.05</f>
        <v>0.19375</v>
      </c>
      <c r="J5" s="10" t="n">
        <f aca="false">(C5+0.2)*E5*0.1</f>
        <v>0.3875</v>
      </c>
      <c r="K5" s="10" t="n">
        <f aca="false">(C5+0.2)*E5</f>
        <v>3.875</v>
      </c>
      <c r="L5" s="10" t="n">
        <v>20</v>
      </c>
      <c r="M5" s="10" t="n">
        <v>10</v>
      </c>
      <c r="N5" s="10" t="n">
        <f aca="false">2.466*M5*E5</f>
        <v>191.115</v>
      </c>
      <c r="O5" s="10" t="n">
        <v>10</v>
      </c>
      <c r="P5" s="10" t="n">
        <f aca="false">1.6+0.75+0.5+0.5</f>
        <v>3.35</v>
      </c>
      <c r="Q5" s="10" t="n">
        <f aca="false">E5/0.15</f>
        <v>51.6666666666667</v>
      </c>
      <c r="R5" s="10" t="n">
        <f aca="false">0.617*P5*Q5</f>
        <v>106.792416666667</v>
      </c>
      <c r="S5" s="10" t="n">
        <v>12</v>
      </c>
      <c r="T5" s="10" t="n">
        <v>2</v>
      </c>
      <c r="U5" s="10" t="n">
        <f aca="false">0.888*T5*E5</f>
        <v>13.764</v>
      </c>
    </row>
    <row r="6" customFormat="false" ht="14.25" hidden="false" customHeight="true" outlineLevel="0" collapsed="false">
      <c r="A6" s="10" t="s">
        <v>1079</v>
      </c>
      <c r="B6" s="10" t="s">
        <v>1084</v>
      </c>
      <c r="C6" s="10" t="n">
        <v>0.4</v>
      </c>
      <c r="D6" s="10" t="n">
        <v>0.6</v>
      </c>
      <c r="E6" s="10" t="n">
        <v>40.1</v>
      </c>
      <c r="F6" s="10" t="n">
        <v>0.2</v>
      </c>
      <c r="G6" s="10" t="n">
        <f aca="false">((C6+0.2)+(D6-F6)*2)*E6</f>
        <v>56.14</v>
      </c>
      <c r="H6" s="10" t="n">
        <f aca="false">C6*(D6-F6)*E6</f>
        <v>6.416</v>
      </c>
      <c r="I6" s="10" t="n">
        <f aca="false">(C6+0.2)*E6*0.05</f>
        <v>1.203</v>
      </c>
      <c r="J6" s="10" t="n">
        <f aca="false">(C6+0.2)*E6*0.1</f>
        <v>2.406</v>
      </c>
      <c r="K6" s="10" t="n">
        <f aca="false">(C6+0.2)*E6</f>
        <v>24.06</v>
      </c>
      <c r="L6" s="10" t="n">
        <v>20</v>
      </c>
      <c r="M6" s="10" t="n">
        <v>10</v>
      </c>
      <c r="N6" s="10" t="n">
        <f aca="false">2.466*M6*E6</f>
        <v>988.866</v>
      </c>
      <c r="O6" s="10" t="n">
        <v>10</v>
      </c>
      <c r="P6" s="10" t="n">
        <f aca="false">1.8+1.4+0.6+0.6</f>
        <v>4.4</v>
      </c>
      <c r="Q6" s="10" t="n">
        <f aca="false">E6/0.15</f>
        <v>267.333333333333</v>
      </c>
      <c r="R6" s="10" t="n">
        <f aca="false">0.617*P6*Q6</f>
        <v>725.756533333334</v>
      </c>
      <c r="S6" s="10" t="n">
        <v>12</v>
      </c>
      <c r="T6" s="10" t="n">
        <v>2</v>
      </c>
      <c r="U6" s="10" t="n">
        <f aca="false">0.888*T6*E6</f>
        <v>71.2176</v>
      </c>
    </row>
    <row r="7" customFormat="false" ht="14.25" hidden="false" customHeight="true" outlineLevel="0" collapsed="false">
      <c r="A7" s="10" t="s">
        <v>1079</v>
      </c>
      <c r="B7" s="10" t="s">
        <v>1085</v>
      </c>
      <c r="C7" s="10" t="n">
        <v>0.4</v>
      </c>
      <c r="D7" s="10" t="n">
        <v>0.7</v>
      </c>
      <c r="E7" s="10" t="n">
        <v>113</v>
      </c>
      <c r="F7" s="10" t="n">
        <v>0.2</v>
      </c>
      <c r="G7" s="10" t="n">
        <f aca="false">((C7+0.2)+(D7-F7)*2)*E7</f>
        <v>180.8</v>
      </c>
      <c r="H7" s="10" t="n">
        <f aca="false">C7*(D7-F7)*E7</f>
        <v>22.6</v>
      </c>
      <c r="I7" s="10" t="n">
        <f aca="false">(C7+0.2)*E7*0.05</f>
        <v>3.39</v>
      </c>
      <c r="J7" s="10" t="n">
        <f aca="false">(C7+0.2)*E7*0.1</f>
        <v>6.78</v>
      </c>
      <c r="K7" s="10" t="n">
        <f aca="false">(C7+0.2)*E7</f>
        <v>67.8</v>
      </c>
      <c r="L7" s="10" t="n">
        <v>20</v>
      </c>
      <c r="M7" s="10" t="n">
        <v>12</v>
      </c>
      <c r="N7" s="10" t="n">
        <f aca="false">2.466*M7*E7</f>
        <v>3343.896</v>
      </c>
      <c r="O7" s="10" t="n">
        <v>10</v>
      </c>
      <c r="P7" s="10" t="n">
        <f aca="false">1.8+1.4+0.6+0.6</f>
        <v>4.4</v>
      </c>
      <c r="Q7" s="10" t="n">
        <f aca="false">E7/0.15</f>
        <v>753.333333333333</v>
      </c>
      <c r="R7" s="10" t="n">
        <f aca="false">0.617*P7*Q7</f>
        <v>2045.14933333333</v>
      </c>
      <c r="S7" s="10" t="n">
        <v>16</v>
      </c>
      <c r="T7" s="10" t="n">
        <v>2</v>
      </c>
      <c r="U7" s="10" t="n">
        <f aca="false">1.578*T7*E7</f>
        <v>356.628</v>
      </c>
    </row>
    <row r="8" customFormat="false" ht="14.25" hidden="false" customHeight="true" outlineLevel="0" collapsed="false">
      <c r="A8" s="10" t="s">
        <v>1079</v>
      </c>
      <c r="B8" s="10" t="s">
        <v>1086</v>
      </c>
      <c r="C8" s="10" t="n">
        <v>0.2</v>
      </c>
      <c r="D8" s="10" t="n">
        <v>0.4</v>
      </c>
      <c r="E8" s="10" t="n">
        <v>0</v>
      </c>
      <c r="F8" s="10" t="n">
        <v>0.2</v>
      </c>
      <c r="G8" s="10" t="n">
        <f aca="false">((C8+0.2)+(D8-F8)*2)*E9</f>
        <v>0</v>
      </c>
      <c r="H8" s="10" t="n">
        <f aca="false">C8*(D8-F8)*E9</f>
        <v>0</v>
      </c>
      <c r="I8" s="10" t="n">
        <f aca="false">(C8+0.2)*E8*0.05</f>
        <v>0</v>
      </c>
      <c r="J8" s="10" t="n">
        <f aca="false">(C8+0.2)*E8*0.1</f>
        <v>0</v>
      </c>
      <c r="K8" s="10" t="n">
        <f aca="false">(C8+0.2)*E8</f>
        <v>0</v>
      </c>
    </row>
    <row r="9" customFormat="false" ht="14.25" hidden="false" customHeight="true" outlineLevel="0" collapsed="false">
      <c r="A9" s="10" t="s">
        <v>1079</v>
      </c>
      <c r="B9" s="10" t="s">
        <v>1087</v>
      </c>
      <c r="C9" s="10" t="n">
        <v>0.4</v>
      </c>
      <c r="D9" s="10" t="n">
        <v>0.7</v>
      </c>
      <c r="E9" s="10" t="n">
        <v>0</v>
      </c>
      <c r="F9" s="10" t="n">
        <v>0.2</v>
      </c>
      <c r="G9" s="10" t="n">
        <f aca="false">((C9+0.2)+(D9-F9)*2)*E10</f>
        <v>0</v>
      </c>
      <c r="H9" s="10" t="n">
        <f aca="false">C9*(D9-F9)*E10</f>
        <v>0</v>
      </c>
      <c r="I9" s="10" t="n">
        <f aca="false">(C9+0.2)*E9*0.05</f>
        <v>0</v>
      </c>
      <c r="J9" s="10" t="n">
        <f aca="false">(C9+0.2)*E9*0.1</f>
        <v>0</v>
      </c>
      <c r="K9" s="10" t="n">
        <f aca="false">(C9+0.2)*E9</f>
        <v>0</v>
      </c>
    </row>
    <row r="10" customFormat="false" ht="14.25" hidden="false" customHeight="true" outlineLevel="0" collapsed="false">
      <c r="G10" s="10" t="n">
        <f aca="false">SUM(G2:G9)</f>
        <v>359.03</v>
      </c>
      <c r="H10" s="10" t="n">
        <f aca="false">SUM(H2:H9)</f>
        <v>38.4185</v>
      </c>
      <c r="I10" s="10" t="n">
        <f aca="false">SUM(I2:I9)</f>
        <v>7.2785</v>
      </c>
      <c r="J10" s="10" t="n">
        <f aca="false">SUM(J2:J9)</f>
        <v>14.557</v>
      </c>
      <c r="K10" s="10" t="n">
        <f aca="false">SUM(K2:K9)</f>
        <v>145.57</v>
      </c>
    </row>
    <row r="13" customFormat="false" ht="14.25" hidden="false" customHeight="true" outlineLevel="0" collapsed="false">
      <c r="L13" s="10" t="n">
        <v>8</v>
      </c>
      <c r="M13" s="10" t="n">
        <f aca="false">R2+R3+R4</f>
        <v>487.008666666667</v>
      </c>
      <c r="O13" s="10" t="n">
        <f aca="false">M13/$H$10</f>
        <v>12.6764102363879</v>
      </c>
    </row>
    <row r="14" customFormat="false" ht="14.25" hidden="false" customHeight="true" outlineLevel="0" collapsed="false">
      <c r="L14" s="10" t="n">
        <v>10</v>
      </c>
      <c r="M14" s="10" t="n">
        <f aca="false">Q5+Q6+Q7</f>
        <v>1072.33333333333</v>
      </c>
      <c r="O14" s="10" t="n">
        <f aca="false">M14/$H$10</f>
        <v>27.9119000828594</v>
      </c>
    </row>
    <row r="15" customFormat="false" ht="14.25" hidden="false" customHeight="true" outlineLevel="0" collapsed="false">
      <c r="L15" s="10" t="n">
        <v>12</v>
      </c>
      <c r="M15" s="10" t="n">
        <f aca="false">U3+U4+U5+U6</f>
        <v>174.3144</v>
      </c>
      <c r="O15" s="10" t="n">
        <f aca="false">M15/$H$10</f>
        <v>4.53725158452308</v>
      </c>
    </row>
    <row r="16" customFormat="false" ht="14.25" hidden="false" customHeight="true" outlineLevel="0" collapsed="false">
      <c r="L16" s="10" t="n">
        <v>16</v>
      </c>
      <c r="M16" s="10" t="n">
        <f aca="false">U7+N2+N3</f>
        <v>1016.8632</v>
      </c>
      <c r="O16" s="10" t="n">
        <f aca="false">M16/$H$10</f>
        <v>26.4680609602145</v>
      </c>
    </row>
    <row r="17" customFormat="false" ht="14.25" hidden="false" customHeight="true" outlineLevel="0" collapsed="false">
      <c r="L17" s="10" t="n">
        <v>20</v>
      </c>
      <c r="M17" s="10" t="n">
        <f aca="false">N4+N5+N6+N7</f>
        <v>5312.997</v>
      </c>
      <c r="O17" s="10" t="n">
        <f aca="false">M17/$H$10</f>
        <v>138.292671499408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41" activeCellId="0" sqref="D41"/>
    </sheetView>
  </sheetViews>
  <sheetFormatPr defaultColWidth="8.71484375" defaultRowHeight="15" zeroHeight="false" outlineLevelRow="0" outlineLevelCol="0"/>
  <cols>
    <col collapsed="false" customWidth="true" hidden="false" outlineLevel="0" max="1" min="1" style="118" width="9.14"/>
    <col collapsed="false" customWidth="true" hidden="false" outlineLevel="0" max="2" min="2" style="10" width="12.57"/>
    <col collapsed="false" customWidth="true" hidden="false" outlineLevel="0" max="3" min="3" style="10" width="15.29"/>
    <col collapsed="false" customWidth="true" hidden="false" outlineLevel="0" max="4" min="4" style="10" width="16"/>
    <col collapsed="false" customWidth="true" hidden="false" outlineLevel="0" max="5" min="5" style="10" width="17.29"/>
    <col collapsed="false" customWidth="true" hidden="false" outlineLevel="0" max="6" min="6" style="10" width="19.42"/>
    <col collapsed="false" customWidth="true" hidden="false" outlineLevel="0" max="7" min="7" style="10" width="15.71"/>
    <col collapsed="false" customWidth="true" hidden="false" outlineLevel="0" max="8" min="8" style="10" width="14.57"/>
    <col collapsed="false" customWidth="true" hidden="false" outlineLevel="0" max="9" min="9" style="10" width="14.42"/>
    <col collapsed="false" customWidth="true" hidden="false" outlineLevel="0" max="10" min="10" style="10" width="19.86"/>
    <col collapsed="false" customWidth="true" hidden="false" outlineLevel="0" max="11" min="11" style="10" width="12"/>
    <col collapsed="false" customWidth="true" hidden="false" outlineLevel="0" max="12" min="12" style="10" width="7.71"/>
    <col collapsed="false" customWidth="true" hidden="false" outlineLevel="0" max="13" min="13" style="10" width="10.71"/>
    <col collapsed="false" customWidth="true" hidden="false" outlineLevel="0" max="14" min="14" style="10" width="20.71"/>
    <col collapsed="false" customWidth="true" hidden="false" outlineLevel="0" max="15" min="15" style="10" width="13"/>
    <col collapsed="false" customWidth="true" hidden="false" outlineLevel="0" max="16" min="16" style="10" width="7.71"/>
    <col collapsed="false" customWidth="true" hidden="false" outlineLevel="0" max="17" min="17" style="10" width="10.71"/>
    <col collapsed="false" customWidth="true" hidden="false" outlineLevel="0" max="18" min="18" style="10" width="20.71"/>
    <col collapsed="false" customWidth="true" hidden="false" outlineLevel="0" max="19" min="19" style="10" width="12"/>
    <col collapsed="false" customWidth="true" hidden="false" outlineLevel="0" max="20" min="20" style="10" width="13.57"/>
    <col collapsed="false" customWidth="true" hidden="false" outlineLevel="0" max="21" min="21" style="10" width="19.14"/>
    <col collapsed="false" customWidth="true" hidden="false" outlineLevel="0" max="22" min="22" style="10" width="12"/>
  </cols>
  <sheetData>
    <row r="1" customFormat="false" ht="14.25" hidden="false" customHeight="true" outlineLevel="0" collapsed="false">
      <c r="A1" s="120" t="s">
        <v>1088</v>
      </c>
      <c r="B1" s="120"/>
      <c r="C1" s="120"/>
      <c r="D1" s="120"/>
      <c r="E1" s="120"/>
      <c r="F1" s="120"/>
    </row>
    <row r="2" customFormat="false" ht="14.25" hidden="false" customHeight="true" outlineLevel="0" collapsed="false">
      <c r="A2" s="121" t="s">
        <v>1060</v>
      </c>
      <c r="B2" s="17" t="s">
        <v>1061</v>
      </c>
      <c r="C2" s="17" t="s">
        <v>1062</v>
      </c>
      <c r="D2" s="17" t="s">
        <v>1063</v>
      </c>
      <c r="E2" s="17" t="s">
        <v>1064</v>
      </c>
      <c r="F2" s="17" t="s">
        <v>1065</v>
      </c>
      <c r="G2" s="17" t="s">
        <v>1066</v>
      </c>
      <c r="H2" s="17" t="s">
        <v>1067</v>
      </c>
      <c r="I2" s="17" t="s">
        <v>1071</v>
      </c>
      <c r="J2" s="17" t="s">
        <v>1072</v>
      </c>
      <c r="K2" s="122" t="s">
        <v>1073</v>
      </c>
      <c r="L2" s="122" t="s">
        <v>1074</v>
      </c>
      <c r="M2" s="122" t="s">
        <v>1075</v>
      </c>
      <c r="N2" s="17" t="s">
        <v>1076</v>
      </c>
      <c r="O2" s="17" t="s">
        <v>1073</v>
      </c>
      <c r="P2" s="122" t="s">
        <v>1089</v>
      </c>
      <c r="Q2" s="122" t="s">
        <v>1075</v>
      </c>
      <c r="R2" s="17" t="s">
        <v>1076</v>
      </c>
      <c r="S2" s="17" t="s">
        <v>1073</v>
      </c>
      <c r="T2" s="17" t="s">
        <v>1077</v>
      </c>
      <c r="U2" s="17" t="s">
        <v>1078</v>
      </c>
      <c r="V2" s="17" t="s">
        <v>1073</v>
      </c>
    </row>
    <row r="3" customFormat="false" ht="14.25" hidden="false" customHeight="true" outlineLevel="0" collapsed="false">
      <c r="A3" s="121" t="s">
        <v>1090</v>
      </c>
      <c r="B3" s="17" t="s">
        <v>1080</v>
      </c>
      <c r="C3" s="123" t="n">
        <v>0.25</v>
      </c>
      <c r="D3" s="123" t="n">
        <v>0.4</v>
      </c>
      <c r="E3" s="123" t="n">
        <v>79</v>
      </c>
      <c r="F3" s="123" t="n">
        <v>0.15</v>
      </c>
      <c r="G3" s="17" t="n">
        <f aca="false">((C3+0.2)+(D3-F3)*2)*E3</f>
        <v>75.05</v>
      </c>
      <c r="H3" s="17" t="n">
        <f aca="false">C3*(D3-F3)*E3</f>
        <v>4.9375</v>
      </c>
      <c r="I3" s="123" t="n">
        <v>16</v>
      </c>
      <c r="J3" s="123" t="n">
        <v>6</v>
      </c>
      <c r="K3" s="17" t="n">
        <f aca="false">J3*E3*'rebar weight'!G4</f>
        <v>747.972</v>
      </c>
      <c r="L3" s="123" t="n">
        <v>8</v>
      </c>
      <c r="M3" s="123" t="n">
        <v>1.2</v>
      </c>
      <c r="N3" s="124" t="n">
        <f aca="false">E3/0.15</f>
        <v>526.666666666667</v>
      </c>
      <c r="O3" s="125" t="n">
        <f aca="false">M3*N3*'rebar weight'!C4</f>
        <v>249.64</v>
      </c>
      <c r="P3" s="123" t="n">
        <v>0</v>
      </c>
      <c r="Q3" s="123" t="n">
        <v>0</v>
      </c>
      <c r="R3" s="124" t="n">
        <f aca="false">E3/0.15</f>
        <v>526.666666666667</v>
      </c>
      <c r="S3" s="125" t="n">
        <f aca="false">0.395*Q3*R3</f>
        <v>0</v>
      </c>
      <c r="T3" s="123" t="n">
        <v>0</v>
      </c>
      <c r="U3" s="123" t="n">
        <v>0</v>
      </c>
      <c r="V3" s="17" t="n">
        <f aca="false">'rebar weight'!E3*U3*E3</f>
        <v>0</v>
      </c>
    </row>
    <row r="4" customFormat="false" ht="14.25" hidden="false" customHeight="true" outlineLevel="0" collapsed="false">
      <c r="A4" s="121" t="s">
        <v>1090</v>
      </c>
      <c r="B4" s="17" t="s">
        <v>1081</v>
      </c>
      <c r="C4" s="123" t="n">
        <v>0.25</v>
      </c>
      <c r="D4" s="123" t="n">
        <v>0.5</v>
      </c>
      <c r="E4" s="123" t="n">
        <v>28</v>
      </c>
      <c r="F4" s="123" t="n">
        <v>0.15</v>
      </c>
      <c r="G4" s="17" t="n">
        <f aca="false">((C4+0.2)+(D4-F4)*2)*E4</f>
        <v>32.2</v>
      </c>
      <c r="H4" s="17" t="n">
        <f aca="false">C4*(D4-F4)*E4</f>
        <v>2.45</v>
      </c>
      <c r="I4" s="123" t="n">
        <v>16</v>
      </c>
      <c r="J4" s="123" t="n">
        <v>10</v>
      </c>
      <c r="K4" s="17" t="n">
        <f aca="false">'rebar weight'!G4*J4*E4</f>
        <v>441.84</v>
      </c>
      <c r="L4" s="123" t="n">
        <v>8</v>
      </c>
      <c r="M4" s="123" t="n">
        <f aca="false">1.4</f>
        <v>1.4</v>
      </c>
      <c r="N4" s="124" t="n">
        <f aca="false">E4/0.15</f>
        <v>186.666666666667</v>
      </c>
      <c r="O4" s="125" t="n">
        <f aca="false">0.395*M4*N4</f>
        <v>103.226666666667</v>
      </c>
      <c r="P4" s="123" t="n">
        <v>8</v>
      </c>
      <c r="Q4" s="123" t="n">
        <f aca="false">0.4</f>
        <v>0.4</v>
      </c>
      <c r="R4" s="124" t="n">
        <f aca="false">E4/0.15</f>
        <v>186.666666666667</v>
      </c>
      <c r="S4" s="125" t="n">
        <f aca="false">0.395*Q4*R4</f>
        <v>29.4933333333333</v>
      </c>
      <c r="T4" s="123" t="n">
        <v>12</v>
      </c>
      <c r="U4" s="123" t="n">
        <v>2</v>
      </c>
      <c r="V4" s="17" t="n">
        <f aca="false">'rebar weight'!E4*U4*E4</f>
        <v>49.728</v>
      </c>
    </row>
    <row r="5" customFormat="false" ht="14.25" hidden="false" customHeight="true" outlineLevel="0" collapsed="false">
      <c r="A5" s="121" t="s">
        <v>1090</v>
      </c>
      <c r="B5" s="17" t="s">
        <v>1082</v>
      </c>
      <c r="C5" s="123" t="n">
        <v>0.3</v>
      </c>
      <c r="D5" s="123" t="n">
        <v>0.5</v>
      </c>
      <c r="E5" s="123" t="n">
        <v>12</v>
      </c>
      <c r="F5" s="123" t="n">
        <v>0.15</v>
      </c>
      <c r="G5" s="17" t="n">
        <f aca="false">((C5+0.2)+(D5-F5)*2)*E5</f>
        <v>14.4</v>
      </c>
      <c r="H5" s="17" t="n">
        <f aca="false">C5*(D5-F5)*E5</f>
        <v>1.26</v>
      </c>
      <c r="I5" s="123" t="n">
        <v>20</v>
      </c>
      <c r="J5" s="123" t="n">
        <v>10</v>
      </c>
      <c r="K5" s="17" t="n">
        <f aca="false">'rebar weight'!H4*J5*E5</f>
        <v>295.92</v>
      </c>
      <c r="L5" s="123" t="n">
        <v>8</v>
      </c>
      <c r="M5" s="123" t="n">
        <f aca="false">1.5</f>
        <v>1.5</v>
      </c>
      <c r="N5" s="17" t="n">
        <f aca="false">E5/0.15</f>
        <v>80</v>
      </c>
      <c r="O5" s="125" t="n">
        <f aca="false">'rebar weight'!C4*M5*N5</f>
        <v>47.4</v>
      </c>
      <c r="P5" s="123" t="n">
        <v>8</v>
      </c>
      <c r="Q5" s="123" t="n">
        <f aca="false">0.64+0.5</f>
        <v>1.14</v>
      </c>
      <c r="R5" s="124" t="n">
        <f aca="false">E5/0.15</f>
        <v>80</v>
      </c>
      <c r="S5" s="125" t="n">
        <f aca="false">0.395*Q5*R5</f>
        <v>36.024</v>
      </c>
      <c r="T5" s="123" t="n">
        <v>12</v>
      </c>
      <c r="U5" s="123" t="n">
        <v>2</v>
      </c>
      <c r="V5" s="17" t="n">
        <f aca="false">0.888*U5*E5</f>
        <v>21.312</v>
      </c>
    </row>
    <row r="6" customFormat="false" ht="14.25" hidden="false" customHeight="true" outlineLevel="0" collapsed="false">
      <c r="A6" s="121" t="s">
        <v>1090</v>
      </c>
      <c r="B6" s="17" t="s">
        <v>1083</v>
      </c>
      <c r="C6" s="123" t="n">
        <v>0</v>
      </c>
      <c r="D6" s="123" t="n">
        <v>0</v>
      </c>
      <c r="E6" s="123" t="n">
        <v>0</v>
      </c>
      <c r="F6" s="123" t="n">
        <v>0.15</v>
      </c>
      <c r="G6" s="17" t="n">
        <f aca="false">((C6+0.2)+(D6-F6)*2)*E6</f>
        <v>-0</v>
      </c>
      <c r="H6" s="17" t="n">
        <f aca="false">C6*(D6-F6)*E6</f>
        <v>-0</v>
      </c>
      <c r="I6" s="123" t="n">
        <v>20</v>
      </c>
      <c r="J6" s="123" t="n">
        <v>10</v>
      </c>
      <c r="K6" s="17" t="n">
        <f aca="false">2.466*J6*E6</f>
        <v>0</v>
      </c>
      <c r="L6" s="123" t="n">
        <v>10</v>
      </c>
      <c r="M6" s="123" t="n">
        <f aca="false">1.6+0.75+0.5+0.5</f>
        <v>3.35</v>
      </c>
      <c r="N6" s="17" t="n">
        <f aca="false">E6/0.15</f>
        <v>0</v>
      </c>
      <c r="O6" s="125" t="n">
        <f aca="false">0.617*M6*N6</f>
        <v>0</v>
      </c>
      <c r="P6" s="123" t="n">
        <v>10</v>
      </c>
      <c r="Q6" s="123" t="n">
        <f aca="false">1.6+0.75+0.5+0.5</f>
        <v>3.35</v>
      </c>
      <c r="R6" s="124" t="n">
        <f aca="false">E6/0.15</f>
        <v>0</v>
      </c>
      <c r="S6" s="125" t="n">
        <f aca="false">0.617*Q6*R6</f>
        <v>0</v>
      </c>
      <c r="T6" s="123" t="n">
        <v>12</v>
      </c>
      <c r="U6" s="123" t="n">
        <v>2</v>
      </c>
      <c r="V6" s="17" t="n">
        <f aca="false">0.888*U6*E6</f>
        <v>0</v>
      </c>
    </row>
    <row r="7" customFormat="false" ht="14.25" hidden="false" customHeight="true" outlineLevel="0" collapsed="false">
      <c r="A7" s="121" t="s">
        <v>1090</v>
      </c>
      <c r="B7" s="17" t="s">
        <v>1084</v>
      </c>
      <c r="C7" s="123" t="n">
        <v>0.4</v>
      </c>
      <c r="D7" s="123" t="n">
        <v>0.6</v>
      </c>
      <c r="E7" s="123" t="n">
        <v>42</v>
      </c>
      <c r="F7" s="123" t="n">
        <v>0.15</v>
      </c>
      <c r="G7" s="17" t="n">
        <f aca="false">((C7+0.2)+(D7-F7)*2)*E7</f>
        <v>63</v>
      </c>
      <c r="H7" s="17" t="n">
        <f aca="false">C7*(D7-F7)*E7</f>
        <v>7.56</v>
      </c>
      <c r="I7" s="123" t="n">
        <v>20</v>
      </c>
      <c r="J7" s="123" t="n">
        <v>16</v>
      </c>
      <c r="K7" s="17" t="n">
        <f aca="false">'rebar weight'!H4*J7*E7</f>
        <v>1657.152</v>
      </c>
      <c r="L7" s="123" t="n">
        <v>10</v>
      </c>
      <c r="M7" s="123" t="n">
        <f aca="false">2+1.5</f>
        <v>3.5</v>
      </c>
      <c r="N7" s="17" t="n">
        <f aca="false">E7/0.15</f>
        <v>280</v>
      </c>
      <c r="O7" s="125" t="n">
        <f aca="false">0.617*M7*N7</f>
        <v>604.66</v>
      </c>
      <c r="P7" s="123" t="n">
        <v>10</v>
      </c>
      <c r="Q7" s="123" t="n">
        <f aca="false">0.6+0.6</f>
        <v>1.2</v>
      </c>
      <c r="R7" s="124" t="n">
        <f aca="false">E7/0.3</f>
        <v>140</v>
      </c>
      <c r="S7" s="125" t="n">
        <f aca="false">0.617*Q7*R7</f>
        <v>103.656</v>
      </c>
      <c r="T7" s="123" t="n">
        <v>16</v>
      </c>
      <c r="U7" s="123" t="n">
        <v>2</v>
      </c>
      <c r="V7" s="17" t="n">
        <f aca="false">'rebar weight'!G4*U7*E7</f>
        <v>132.552</v>
      </c>
    </row>
    <row r="8" customFormat="false" ht="14.25" hidden="false" customHeight="true" outlineLevel="0" collapsed="false">
      <c r="A8" s="121" t="s">
        <v>1090</v>
      </c>
      <c r="B8" s="17" t="s">
        <v>1085</v>
      </c>
      <c r="C8" s="123" t="n">
        <v>0.4</v>
      </c>
      <c r="D8" s="123" t="n">
        <v>0.7</v>
      </c>
      <c r="E8" s="123" t="n">
        <v>70</v>
      </c>
      <c r="F8" s="123" t="n">
        <v>0.15</v>
      </c>
      <c r="G8" s="17" t="n">
        <f aca="false">((C8+0.2)+(D8-F8)*2)*E8</f>
        <v>119</v>
      </c>
      <c r="H8" s="17" t="n">
        <f aca="false">C8*(D8-F8)*E8</f>
        <v>15.4</v>
      </c>
      <c r="I8" s="123" t="n">
        <v>25</v>
      </c>
      <c r="J8" s="123" t="n">
        <v>16</v>
      </c>
      <c r="K8" s="17" t="n">
        <f aca="false">'rebar weight'!I4*J8*E8</f>
        <v>4315.36</v>
      </c>
      <c r="L8" s="123" t="n">
        <v>10</v>
      </c>
      <c r="M8" s="123" t="n">
        <f aca="false">2+1.5</f>
        <v>3.5</v>
      </c>
      <c r="N8" s="124" t="n">
        <f aca="false">E8/0.15</f>
        <v>466.666666666667</v>
      </c>
      <c r="O8" s="125" t="n">
        <f aca="false">0.617*M8*N8</f>
        <v>1007.76666666667</v>
      </c>
      <c r="P8" s="123" t="n">
        <v>10</v>
      </c>
      <c r="Q8" s="123" t="n">
        <f aca="false">0.6+0.6</f>
        <v>1.2</v>
      </c>
      <c r="R8" s="124" t="n">
        <f aca="false">E8/0.3</f>
        <v>233.333333333333</v>
      </c>
      <c r="S8" s="125" t="n">
        <f aca="false">0.617*Q8*R8</f>
        <v>172.76</v>
      </c>
      <c r="T8" s="123" t="n">
        <v>16</v>
      </c>
      <c r="U8" s="123" t="n">
        <v>2</v>
      </c>
      <c r="V8" s="17" t="n">
        <f aca="false">'rebar weight'!G4*U8*E8</f>
        <v>220.92</v>
      </c>
    </row>
    <row r="9" customFormat="false" ht="14.25" hidden="false" customHeight="true" outlineLevel="0" collapsed="false">
      <c r="A9" s="121" t="s">
        <v>1090</v>
      </c>
      <c r="B9" s="17" t="s">
        <v>1086</v>
      </c>
      <c r="C9" s="123" t="n">
        <v>0.2</v>
      </c>
      <c r="D9" s="123" t="n">
        <v>0.4</v>
      </c>
      <c r="E9" s="123" t="n">
        <v>0</v>
      </c>
      <c r="F9" s="123" t="n">
        <v>0.15</v>
      </c>
      <c r="G9" s="17" t="n">
        <f aca="false">((C9+0.2)+(D9-F9)*2)*E9</f>
        <v>0</v>
      </c>
      <c r="H9" s="17" t="n">
        <f aca="false">C9*(D9-F9)*E9</f>
        <v>0</v>
      </c>
      <c r="I9" s="123" t="n">
        <v>0</v>
      </c>
      <c r="J9" s="123" t="n">
        <v>0</v>
      </c>
      <c r="K9" s="17" t="n">
        <f aca="false">2.466*J9*E9</f>
        <v>0</v>
      </c>
      <c r="L9" s="123"/>
      <c r="M9" s="123"/>
      <c r="N9" s="17" t="n">
        <f aca="false">E9/0.15</f>
        <v>0</v>
      </c>
      <c r="O9" s="125" t="n">
        <f aca="false">0.617*M9*N9</f>
        <v>0</v>
      </c>
      <c r="P9" s="123"/>
      <c r="Q9" s="123"/>
      <c r="R9" s="124" t="n">
        <f aca="false">E9/0.15</f>
        <v>0</v>
      </c>
      <c r="S9" s="125" t="n">
        <f aca="false">0.617*Q9*R9</f>
        <v>0</v>
      </c>
      <c r="T9" s="123"/>
      <c r="U9" s="123"/>
      <c r="V9" s="17" t="n">
        <f aca="false">1.578*U9*E9</f>
        <v>0</v>
      </c>
    </row>
    <row r="10" customFormat="false" ht="14.25" hidden="false" customHeight="true" outlineLevel="0" collapsed="false">
      <c r="A10" s="121" t="s">
        <v>1090</v>
      </c>
      <c r="B10" s="17" t="s">
        <v>1087</v>
      </c>
      <c r="C10" s="123" t="n">
        <v>0.4</v>
      </c>
      <c r="D10" s="123" t="n">
        <v>0.7</v>
      </c>
      <c r="E10" s="123" t="n">
        <v>9.1</v>
      </c>
      <c r="F10" s="123" t="n">
        <v>0.15</v>
      </c>
      <c r="G10" s="17" t="n">
        <f aca="false">((C10+0.2)+(D10-F10)*2)*E10</f>
        <v>15.47</v>
      </c>
      <c r="H10" s="17" t="n">
        <f aca="false">C10*(D10-F10)*E10</f>
        <v>2.002</v>
      </c>
      <c r="I10" s="123" t="n">
        <v>25</v>
      </c>
      <c r="J10" s="123" t="n">
        <v>16</v>
      </c>
      <c r="K10" s="17" t="n">
        <f aca="false">'rebar weight'!I4*J10*E10</f>
        <v>560.9968</v>
      </c>
      <c r="L10" s="123" t="n">
        <v>12</v>
      </c>
      <c r="M10" s="123" t="n">
        <f aca="false">2.2+1.7</f>
        <v>3.9</v>
      </c>
      <c r="N10" s="124" t="n">
        <f aca="false">E10/0.15</f>
        <v>60.6666666666667</v>
      </c>
      <c r="O10" s="125" t="n">
        <f aca="false">'rebar weight'!E4*M10*N10</f>
        <v>210.1008</v>
      </c>
      <c r="P10" s="123" t="n">
        <v>10</v>
      </c>
      <c r="Q10" s="123" t="n">
        <f aca="false">0.55+0.55+0.55</f>
        <v>1.65</v>
      </c>
      <c r="R10" s="124" t="n">
        <f aca="false">E10/0.3</f>
        <v>30.3333333333333</v>
      </c>
      <c r="S10" s="125" t="n">
        <f aca="false">'rebar weight'!D4*Q10*R10</f>
        <v>30.88085</v>
      </c>
      <c r="T10" s="123" t="n">
        <v>16</v>
      </c>
      <c r="U10" s="123" t="n">
        <v>4</v>
      </c>
      <c r="V10" s="17" t="n">
        <f aca="false">'rebar weight'!G4*U10*E10</f>
        <v>57.4392</v>
      </c>
    </row>
    <row r="11" customFormat="false" ht="14.25" hidden="false" customHeight="true" outlineLevel="0" collapsed="false">
      <c r="G11" s="10" t="n">
        <f aca="false">SUM(G3:G10)</f>
        <v>319.12</v>
      </c>
      <c r="H11" s="10" t="n">
        <f aca="false">SUM(H3:H10)</f>
        <v>33.6095</v>
      </c>
    </row>
    <row r="14" customFormat="false" ht="14.25" hidden="false" customHeight="true" outlineLevel="0" collapsed="false">
      <c r="I14" s="10" t="n">
        <v>8</v>
      </c>
      <c r="J14" s="126" t="n">
        <f aca="false">O3+O4+O5+S3+S4+S5</f>
        <v>465.784</v>
      </c>
      <c r="K14" s="126" t="n">
        <f aca="false">J14/$H$11</f>
        <v>13.8587006649906</v>
      </c>
    </row>
    <row r="15" customFormat="false" ht="14.25" hidden="false" customHeight="true" outlineLevel="0" collapsed="false">
      <c r="I15" s="10" t="n">
        <v>10</v>
      </c>
      <c r="J15" s="126" t="n">
        <f aca="false">O6+O7+O8+R6+R7+R8+R9+R10</f>
        <v>2016.09333333333</v>
      </c>
      <c r="K15" s="126" t="n">
        <f aca="false">J15/$H$11</f>
        <v>59.985817501996</v>
      </c>
    </row>
    <row r="16" customFormat="false" ht="14.25" hidden="false" customHeight="true" outlineLevel="0" collapsed="false">
      <c r="I16" s="10" t="n">
        <v>12</v>
      </c>
      <c r="J16" s="126" t="n">
        <f aca="false">O10+V4+V5+V6</f>
        <v>281.1408</v>
      </c>
      <c r="K16" s="126" t="n">
        <f aca="false">J16/$H$11</f>
        <v>8.36492063255925</v>
      </c>
    </row>
    <row r="17" customFormat="false" ht="14.25" hidden="false" customHeight="true" outlineLevel="0" collapsed="false">
      <c r="I17" s="10" t="n">
        <v>16</v>
      </c>
      <c r="J17" s="126" t="n">
        <f aca="false">K3+K4+V7+V8+V10</f>
        <v>1600.7232</v>
      </c>
      <c r="K17" s="126" t="n">
        <f aca="false">J17/$H$11</f>
        <v>47.6271054315</v>
      </c>
    </row>
    <row r="18" customFormat="false" ht="14.25" hidden="false" customHeight="true" outlineLevel="0" collapsed="false">
      <c r="I18" s="10" t="n">
        <v>20</v>
      </c>
      <c r="J18" s="126" t="n">
        <f aca="false">K5+K6+K7</f>
        <v>1953.072</v>
      </c>
      <c r="K18" s="126" t="n">
        <f aca="false">J18/$H$11</f>
        <v>58.1107127449084</v>
      </c>
    </row>
    <row r="19" customFormat="false" ht="14.25" hidden="false" customHeight="true" outlineLevel="0" collapsed="false">
      <c r="I19" s="10" t="n">
        <v>25</v>
      </c>
      <c r="J19" s="126" t="n">
        <f aca="false">K8+K10</f>
        <v>4876.3568</v>
      </c>
      <c r="K19" s="126" t="n">
        <f aca="false">J19/$H$11</f>
        <v>145.088644579658</v>
      </c>
    </row>
    <row r="20" customFormat="false" ht="14.25" hidden="false" customHeight="true" outlineLevel="0" collapsed="false">
      <c r="J20" s="126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8.71484375" defaultRowHeight="15" zeroHeight="false" outlineLevelRow="0" outlineLevelCol="0"/>
  <cols>
    <col collapsed="false" customWidth="true" hidden="false" outlineLevel="0" max="1" min="1" style="10" width="16.71"/>
  </cols>
  <sheetData>
    <row r="1" customFormat="false" ht="14.25" hidden="false" customHeight="true" outlineLevel="0" collapsed="false">
      <c r="A1" s="121" t="s">
        <v>1091</v>
      </c>
      <c r="B1" s="121" t="s">
        <v>1092</v>
      </c>
      <c r="C1" s="121"/>
      <c r="D1" s="121" t="s">
        <v>1093</v>
      </c>
      <c r="E1" s="121"/>
      <c r="F1" s="121"/>
      <c r="G1" s="121"/>
      <c r="H1" s="121"/>
      <c r="I1" s="121"/>
      <c r="J1" s="121"/>
      <c r="K1" s="121"/>
    </row>
    <row r="2" customFormat="false" ht="14.25" hidden="false" customHeight="true" outlineLevel="0" collapsed="false">
      <c r="A2" s="121" t="s">
        <v>1094</v>
      </c>
      <c r="B2" s="121" t="n">
        <v>6</v>
      </c>
      <c r="C2" s="121" t="n">
        <v>8</v>
      </c>
      <c r="D2" s="121" t="n">
        <v>10</v>
      </c>
      <c r="E2" s="121" t="n">
        <v>12</v>
      </c>
      <c r="F2" s="121" t="n">
        <v>14</v>
      </c>
      <c r="G2" s="121" t="n">
        <v>16</v>
      </c>
      <c r="H2" s="121" t="n">
        <v>20</v>
      </c>
      <c r="I2" s="121" t="n">
        <v>25</v>
      </c>
      <c r="J2" s="121" t="n">
        <v>28</v>
      </c>
      <c r="K2" s="121" t="n">
        <v>32</v>
      </c>
    </row>
    <row r="3" customFormat="false" ht="14.25" hidden="false" customHeight="true" outlineLevel="0" collapsed="false">
      <c r="A3" s="121" t="s">
        <v>1095</v>
      </c>
      <c r="B3" s="121" t="n">
        <v>0.282743338823081</v>
      </c>
      <c r="C3" s="121" t="n">
        <v>0.502654824574367</v>
      </c>
      <c r="D3" s="121" t="n">
        <v>0.785398163397448</v>
      </c>
      <c r="E3" s="121" t="n">
        <v>1.13097335529233</v>
      </c>
      <c r="F3" s="121" t="n">
        <v>1.539380400259</v>
      </c>
      <c r="G3" s="121" t="n">
        <v>2.01061929829747</v>
      </c>
      <c r="H3" s="121" t="n">
        <v>3.14159265358979</v>
      </c>
      <c r="I3" s="121" t="n">
        <v>4.90873852123405</v>
      </c>
      <c r="J3" s="121" t="n">
        <v>6.15752160103599</v>
      </c>
      <c r="K3" s="121" t="n">
        <v>8.04247719318987</v>
      </c>
    </row>
    <row r="4" customFormat="false" ht="14.25" hidden="false" customHeight="true" outlineLevel="0" collapsed="false">
      <c r="A4" s="121" t="s">
        <v>1096</v>
      </c>
      <c r="B4" s="121" t="n">
        <v>0.222</v>
      </c>
      <c r="C4" s="121" t="n">
        <v>0.395</v>
      </c>
      <c r="D4" s="121" t="n">
        <v>0.617</v>
      </c>
      <c r="E4" s="121" t="n">
        <v>0.888</v>
      </c>
      <c r="F4" s="121" t="n">
        <v>1.208</v>
      </c>
      <c r="G4" s="121" t="n">
        <v>1.578</v>
      </c>
      <c r="H4" s="121" t="n">
        <v>2.466</v>
      </c>
      <c r="I4" s="121" t="n">
        <v>3.853</v>
      </c>
      <c r="J4" s="121" t="n">
        <v>4.834</v>
      </c>
      <c r="K4" s="121" t="n">
        <v>6.313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J14" activeCellId="0" sqref="J14"/>
    </sheetView>
  </sheetViews>
  <sheetFormatPr defaultColWidth="8.71484375" defaultRowHeight="15" zeroHeight="false" outlineLevelRow="0" outlineLevelCol="0"/>
  <cols>
    <col collapsed="false" customWidth="true" hidden="false" outlineLevel="0" max="1" min="1" style="118" width="9.14"/>
    <col collapsed="false" customWidth="true" hidden="false" outlineLevel="0" max="2" min="2" style="10" width="12.57"/>
    <col collapsed="false" customWidth="true" hidden="false" outlineLevel="0" max="3" min="3" style="10" width="15.29"/>
    <col collapsed="false" customWidth="true" hidden="false" outlineLevel="0" max="4" min="4" style="10" width="16"/>
    <col collapsed="false" customWidth="true" hidden="false" outlineLevel="0" max="5" min="5" style="10" width="17.29"/>
    <col collapsed="false" customWidth="true" hidden="false" outlineLevel="0" max="6" min="6" style="10" width="19.42"/>
    <col collapsed="false" customWidth="true" hidden="false" outlineLevel="0" max="7" min="7" style="10" width="15.71"/>
    <col collapsed="false" customWidth="true" hidden="false" outlineLevel="0" max="8" min="8" style="10" width="14.57"/>
    <col collapsed="false" customWidth="true" hidden="false" outlineLevel="0" max="9" min="9" style="10" width="14.42"/>
    <col collapsed="false" customWidth="true" hidden="false" outlineLevel="0" max="10" min="10" style="10" width="19.86"/>
    <col collapsed="false" customWidth="true" hidden="false" outlineLevel="0" max="11" min="11" style="10" width="12"/>
    <col collapsed="false" customWidth="true" hidden="false" outlineLevel="0" max="12" min="12" style="10" width="7.71"/>
    <col collapsed="false" customWidth="true" hidden="false" outlineLevel="0" max="13" min="13" style="10" width="10.71"/>
    <col collapsed="false" customWidth="true" hidden="false" outlineLevel="0" max="14" min="14" style="10" width="20.71"/>
    <col collapsed="false" customWidth="true" hidden="false" outlineLevel="0" max="15" min="15" style="10" width="13"/>
    <col collapsed="false" customWidth="true" hidden="false" outlineLevel="0" max="16" min="16" style="10" width="7.71"/>
    <col collapsed="false" customWidth="true" hidden="false" outlineLevel="0" max="17" min="17" style="10" width="10.71"/>
    <col collapsed="false" customWidth="true" hidden="false" outlineLevel="0" max="18" min="18" style="10" width="20.71"/>
    <col collapsed="false" customWidth="true" hidden="false" outlineLevel="0" max="19" min="19" style="10" width="12"/>
    <col collapsed="false" customWidth="true" hidden="false" outlineLevel="0" max="20" min="20" style="10" width="13.57"/>
    <col collapsed="false" customWidth="true" hidden="false" outlineLevel="0" max="21" min="21" style="10" width="19.14"/>
    <col collapsed="false" customWidth="true" hidden="false" outlineLevel="0" max="22" min="22" style="10" width="12"/>
  </cols>
  <sheetData>
    <row r="1" customFormat="false" ht="14.25" hidden="false" customHeight="true" outlineLevel="0" collapsed="false">
      <c r="A1" s="120" t="s">
        <v>1088</v>
      </c>
      <c r="B1" s="120"/>
      <c r="C1" s="120"/>
      <c r="D1" s="120"/>
      <c r="E1" s="120"/>
      <c r="F1" s="120"/>
    </row>
    <row r="2" customFormat="false" ht="14.25" hidden="false" customHeight="true" outlineLevel="0" collapsed="false">
      <c r="A2" s="121" t="s">
        <v>1060</v>
      </c>
      <c r="B2" s="17" t="s">
        <v>1061</v>
      </c>
      <c r="C2" s="17" t="s">
        <v>1062</v>
      </c>
      <c r="D2" s="17" t="s">
        <v>1063</v>
      </c>
      <c r="E2" s="17" t="s">
        <v>1064</v>
      </c>
      <c r="F2" s="17" t="s">
        <v>1065</v>
      </c>
      <c r="G2" s="17" t="s">
        <v>1066</v>
      </c>
      <c r="H2" s="17" t="s">
        <v>1067</v>
      </c>
      <c r="I2" s="17" t="s">
        <v>1071</v>
      </c>
      <c r="J2" s="17" t="s">
        <v>1072</v>
      </c>
      <c r="K2" s="122" t="s">
        <v>1073</v>
      </c>
      <c r="L2" s="122" t="s">
        <v>1074</v>
      </c>
      <c r="M2" s="122" t="s">
        <v>1075</v>
      </c>
      <c r="N2" s="17" t="s">
        <v>1076</v>
      </c>
      <c r="O2" s="17" t="s">
        <v>1073</v>
      </c>
      <c r="P2" s="122" t="s">
        <v>1089</v>
      </c>
      <c r="Q2" s="122" t="s">
        <v>1075</v>
      </c>
      <c r="R2" s="17" t="s">
        <v>1076</v>
      </c>
      <c r="S2" s="17" t="s">
        <v>1073</v>
      </c>
      <c r="T2" s="17" t="s">
        <v>1077</v>
      </c>
      <c r="U2" s="17" t="s">
        <v>1078</v>
      </c>
      <c r="V2" s="17" t="s">
        <v>1073</v>
      </c>
    </row>
    <row r="3" customFormat="false" ht="14.25" hidden="false" customHeight="true" outlineLevel="0" collapsed="false">
      <c r="A3" s="121" t="s">
        <v>1090</v>
      </c>
      <c r="B3" s="17" t="s">
        <v>1080</v>
      </c>
      <c r="C3" s="123" t="n">
        <v>0.25</v>
      </c>
      <c r="D3" s="123" t="n">
        <v>0.4</v>
      </c>
      <c r="E3" s="123" t="n">
        <v>125</v>
      </c>
      <c r="F3" s="123" t="n">
        <v>0.15</v>
      </c>
      <c r="G3" s="17" t="n">
        <f aca="false">((C3+0.2)+(D3-F3)*2)*E3</f>
        <v>118.75</v>
      </c>
      <c r="H3" s="17" t="n">
        <f aca="false">C3*(D3-F3)*E3</f>
        <v>7.8125</v>
      </c>
      <c r="I3" s="123" t="n">
        <v>16</v>
      </c>
      <c r="J3" s="123" t="n">
        <v>6</v>
      </c>
      <c r="K3" s="17" t="n">
        <f aca="false">J3*E3*'rebar weight'!G4</f>
        <v>1183.5</v>
      </c>
      <c r="L3" s="123" t="n">
        <v>8</v>
      </c>
      <c r="M3" s="123" t="n">
        <v>1.2</v>
      </c>
      <c r="N3" s="125" t="n">
        <f aca="false">E3/0.15</f>
        <v>833.333333333333</v>
      </c>
      <c r="O3" s="125" t="n">
        <f aca="false">M3*N3*'rebar weight'!C4</f>
        <v>395</v>
      </c>
      <c r="P3" s="123" t="n">
        <v>0</v>
      </c>
      <c r="Q3" s="123" t="n">
        <v>0</v>
      </c>
      <c r="R3" s="124" t="n">
        <f aca="false">E3/0.15</f>
        <v>833.333333333333</v>
      </c>
      <c r="S3" s="125" t="n">
        <f aca="false">0.395*Q3*R3</f>
        <v>0</v>
      </c>
      <c r="T3" s="123" t="n">
        <v>0</v>
      </c>
      <c r="U3" s="123" t="n">
        <v>0</v>
      </c>
      <c r="V3" s="17" t="n">
        <f aca="false">'rebar weight'!E3*U3*E3</f>
        <v>0</v>
      </c>
    </row>
    <row r="4" customFormat="false" ht="14.25" hidden="false" customHeight="true" outlineLevel="0" collapsed="false">
      <c r="A4" s="121" t="s">
        <v>1090</v>
      </c>
      <c r="B4" s="17" t="s">
        <v>1081</v>
      </c>
      <c r="C4" s="123" t="n">
        <v>0.25</v>
      </c>
      <c r="D4" s="123" t="n">
        <v>0.5</v>
      </c>
      <c r="E4" s="123" t="n">
        <v>43</v>
      </c>
      <c r="F4" s="123" t="n">
        <v>0.15</v>
      </c>
      <c r="G4" s="17" t="n">
        <f aca="false">((C4+0.2)+(D4-F4)*2)*E4</f>
        <v>49.45</v>
      </c>
      <c r="H4" s="17" t="n">
        <f aca="false">C4*(D4-F4)*E4</f>
        <v>3.7625</v>
      </c>
      <c r="I4" s="123" t="n">
        <v>16</v>
      </c>
      <c r="J4" s="123" t="n">
        <v>10</v>
      </c>
      <c r="K4" s="17" t="n">
        <f aca="false">'rebar weight'!G4*J4*E4</f>
        <v>678.54</v>
      </c>
      <c r="L4" s="123" t="n">
        <v>8</v>
      </c>
      <c r="M4" s="123" t="n">
        <f aca="false">1.4</f>
        <v>1.4</v>
      </c>
      <c r="N4" s="125" t="n">
        <f aca="false">E4/0.15</f>
        <v>286.666666666667</v>
      </c>
      <c r="O4" s="125" t="n">
        <f aca="false">0.395*M4*N4</f>
        <v>158.526666666667</v>
      </c>
      <c r="P4" s="123" t="n">
        <v>8</v>
      </c>
      <c r="Q4" s="123" t="n">
        <f aca="false">0.4</f>
        <v>0.4</v>
      </c>
      <c r="R4" s="124" t="n">
        <f aca="false">E4/0.15</f>
        <v>286.666666666667</v>
      </c>
      <c r="S4" s="125" t="n">
        <f aca="false">0.395*Q4*R4</f>
        <v>45.2933333333333</v>
      </c>
      <c r="T4" s="123" t="n">
        <v>12</v>
      </c>
      <c r="U4" s="123" t="n">
        <v>2</v>
      </c>
      <c r="V4" s="17" t="n">
        <f aca="false">'rebar weight'!E4*U4*E4</f>
        <v>76.368</v>
      </c>
    </row>
    <row r="5" customFormat="false" ht="14.25" hidden="false" customHeight="true" outlineLevel="0" collapsed="false">
      <c r="A5" s="121" t="s">
        <v>1090</v>
      </c>
      <c r="B5" s="17" t="s">
        <v>1082</v>
      </c>
      <c r="C5" s="123" t="n">
        <v>0.3</v>
      </c>
      <c r="D5" s="123" t="n">
        <v>0.5</v>
      </c>
      <c r="E5" s="123" t="n">
        <v>3.65</v>
      </c>
      <c r="F5" s="123" t="n">
        <v>0.15</v>
      </c>
      <c r="G5" s="17" t="n">
        <f aca="false">((C5+0.2)+(D5-F5)*2)*E5</f>
        <v>4.38</v>
      </c>
      <c r="H5" s="17" t="n">
        <f aca="false">C5*(D5-F5)*E5</f>
        <v>0.38325</v>
      </c>
      <c r="I5" s="123" t="n">
        <v>20</v>
      </c>
      <c r="J5" s="123" t="n">
        <v>10</v>
      </c>
      <c r="K5" s="17" t="n">
        <f aca="false">'rebar weight'!H4*J5*E5</f>
        <v>90.009</v>
      </c>
      <c r="L5" s="123" t="n">
        <v>8</v>
      </c>
      <c r="M5" s="123" t="n">
        <f aca="false">1.5</f>
        <v>1.5</v>
      </c>
      <c r="N5" s="125" t="n">
        <f aca="false">E5/0.15</f>
        <v>24.3333333333333</v>
      </c>
      <c r="O5" s="125" t="n">
        <f aca="false">'rebar weight'!C4*M5*N5</f>
        <v>14.4175</v>
      </c>
      <c r="P5" s="123" t="n">
        <v>8</v>
      </c>
      <c r="Q5" s="123" t="n">
        <f aca="false">0.64+0.5</f>
        <v>1.14</v>
      </c>
      <c r="R5" s="124" t="n">
        <f aca="false">E5/0.15</f>
        <v>24.3333333333333</v>
      </c>
      <c r="S5" s="125" t="n">
        <f aca="false">0.395*Q5*R5</f>
        <v>10.9573</v>
      </c>
      <c r="T5" s="123" t="n">
        <v>12</v>
      </c>
      <c r="U5" s="123" t="n">
        <v>2</v>
      </c>
      <c r="V5" s="17" t="n">
        <f aca="false">0.888*U5*E5</f>
        <v>6.4824</v>
      </c>
    </row>
    <row r="6" customFormat="false" ht="14.25" hidden="false" customHeight="true" outlineLevel="0" collapsed="false">
      <c r="A6" s="121" t="s">
        <v>1090</v>
      </c>
      <c r="B6" s="17" t="s">
        <v>1083</v>
      </c>
      <c r="C6" s="123" t="n">
        <v>0.3</v>
      </c>
      <c r="D6" s="123" t="n">
        <v>0.6</v>
      </c>
      <c r="E6" s="123" t="n">
        <v>1.34</v>
      </c>
      <c r="F6" s="123" t="n">
        <v>0.15</v>
      </c>
      <c r="G6" s="17" t="n">
        <f aca="false">((C6+0.2)+(D6-F6)*2)*E6</f>
        <v>1.876</v>
      </c>
      <c r="H6" s="17" t="n">
        <f aca="false">C6*(D6-F6)*E6</f>
        <v>0.1809</v>
      </c>
      <c r="I6" s="123" t="n">
        <v>20</v>
      </c>
      <c r="J6" s="123" t="n">
        <v>10</v>
      </c>
      <c r="K6" s="17" t="n">
        <f aca="false">2.466*J6*E6</f>
        <v>33.0444</v>
      </c>
      <c r="L6" s="123" t="n">
        <v>10</v>
      </c>
      <c r="M6" s="123" t="n">
        <f aca="false">1.6+0.75+0.5+0.5</f>
        <v>3.35</v>
      </c>
      <c r="N6" s="125" t="n">
        <f aca="false">E6/0.15</f>
        <v>8.93333333333333</v>
      </c>
      <c r="O6" s="125" t="n">
        <f aca="false">0.617*M6*N6</f>
        <v>18.4647533333333</v>
      </c>
      <c r="P6" s="123" t="n">
        <v>10</v>
      </c>
      <c r="Q6" s="123" t="n">
        <f aca="false">1.6+0.75+0.5+0.5</f>
        <v>3.35</v>
      </c>
      <c r="R6" s="124" t="n">
        <f aca="false">E6/0.15</f>
        <v>8.93333333333333</v>
      </c>
      <c r="S6" s="125" t="n">
        <f aca="false">0.617*Q6*R6</f>
        <v>18.4647533333333</v>
      </c>
      <c r="T6" s="123" t="n">
        <v>12</v>
      </c>
      <c r="U6" s="123" t="n">
        <v>2</v>
      </c>
      <c r="V6" s="17" t="n">
        <f aca="false">0.888*U6*E6</f>
        <v>2.37984</v>
      </c>
    </row>
    <row r="7" customFormat="false" ht="14.25" hidden="false" customHeight="true" outlineLevel="0" collapsed="false">
      <c r="A7" s="121" t="s">
        <v>1090</v>
      </c>
      <c r="B7" s="17" t="s">
        <v>1084</v>
      </c>
      <c r="C7" s="123" t="n">
        <v>0.4</v>
      </c>
      <c r="D7" s="123" t="n">
        <v>0.6</v>
      </c>
      <c r="E7" s="123" t="n">
        <v>43</v>
      </c>
      <c r="F7" s="123" t="n">
        <v>0.15</v>
      </c>
      <c r="G7" s="17" t="n">
        <f aca="false">((C7+0.2)+(D7-F7)*2)*E7</f>
        <v>64.5</v>
      </c>
      <c r="H7" s="17" t="n">
        <f aca="false">C7*(D7-F7)*E7</f>
        <v>7.74</v>
      </c>
      <c r="I7" s="123" t="n">
        <v>20</v>
      </c>
      <c r="J7" s="123" t="n">
        <v>16</v>
      </c>
      <c r="K7" s="17" t="n">
        <f aca="false">'rebar weight'!H4*J7*E7</f>
        <v>1696.608</v>
      </c>
      <c r="L7" s="123" t="n">
        <v>10</v>
      </c>
      <c r="M7" s="123" t="n">
        <f aca="false">2+1.5</f>
        <v>3.5</v>
      </c>
      <c r="N7" s="125" t="n">
        <f aca="false">E7/0.15</f>
        <v>286.666666666667</v>
      </c>
      <c r="O7" s="125" t="n">
        <f aca="false">0.617*M7*N7</f>
        <v>619.056666666667</v>
      </c>
      <c r="P7" s="123" t="n">
        <v>10</v>
      </c>
      <c r="Q7" s="123" t="n">
        <f aca="false">0.6+0.6</f>
        <v>1.2</v>
      </c>
      <c r="R7" s="124" t="n">
        <f aca="false">E7/0.3</f>
        <v>143.333333333333</v>
      </c>
      <c r="S7" s="125" t="n">
        <f aca="false">0.617*Q7*R7</f>
        <v>106.124</v>
      </c>
      <c r="T7" s="123" t="n">
        <v>16</v>
      </c>
      <c r="U7" s="123" t="n">
        <v>2</v>
      </c>
      <c r="V7" s="17" t="n">
        <f aca="false">'rebar weight'!G4*U7*E7</f>
        <v>135.708</v>
      </c>
    </row>
    <row r="8" customFormat="false" ht="14.25" hidden="false" customHeight="true" outlineLevel="0" collapsed="false">
      <c r="A8" s="121" t="s">
        <v>1090</v>
      </c>
      <c r="B8" s="17" t="s">
        <v>1085</v>
      </c>
      <c r="C8" s="123" t="n">
        <v>0.4</v>
      </c>
      <c r="D8" s="123" t="n">
        <v>0.7</v>
      </c>
      <c r="E8" s="123" t="n">
        <v>113</v>
      </c>
      <c r="F8" s="123" t="n">
        <v>0.15</v>
      </c>
      <c r="G8" s="17" t="n">
        <f aca="false">((C8+0.2)+(D8-F8)*2)*E8</f>
        <v>192.1</v>
      </c>
      <c r="H8" s="17" t="n">
        <f aca="false">C8*(D8-F8)*E8</f>
        <v>24.86</v>
      </c>
      <c r="I8" s="123" t="n">
        <v>25</v>
      </c>
      <c r="J8" s="123" t="n">
        <v>16</v>
      </c>
      <c r="K8" s="17" t="n">
        <f aca="false">'rebar weight'!I4*J8*E8</f>
        <v>6966.224</v>
      </c>
      <c r="L8" s="123" t="n">
        <v>10</v>
      </c>
      <c r="M8" s="123" t="n">
        <f aca="false">2+1.5</f>
        <v>3.5</v>
      </c>
      <c r="N8" s="125" t="n">
        <f aca="false">E8/0.15</f>
        <v>753.333333333333</v>
      </c>
      <c r="O8" s="125" t="n">
        <f aca="false">0.617*M8*N8</f>
        <v>1626.82333333333</v>
      </c>
      <c r="P8" s="123" t="n">
        <v>10</v>
      </c>
      <c r="Q8" s="123" t="n">
        <f aca="false">0.6+0.6</f>
        <v>1.2</v>
      </c>
      <c r="R8" s="124" t="n">
        <f aca="false">E8/0.3</f>
        <v>376.666666666667</v>
      </c>
      <c r="S8" s="125" t="n">
        <f aca="false">0.617*Q8*R8</f>
        <v>278.884</v>
      </c>
      <c r="T8" s="123" t="n">
        <v>16</v>
      </c>
      <c r="U8" s="123" t="n">
        <v>2</v>
      </c>
      <c r="V8" s="17" t="n">
        <f aca="false">'rebar weight'!G4*U8*E8</f>
        <v>356.628</v>
      </c>
    </row>
    <row r="9" customFormat="false" ht="14.25" hidden="false" customHeight="true" outlineLevel="0" collapsed="false">
      <c r="A9" s="121" t="s">
        <v>1090</v>
      </c>
      <c r="B9" s="17" t="s">
        <v>1086</v>
      </c>
      <c r="C9" s="123" t="n">
        <v>0.2</v>
      </c>
      <c r="D9" s="123" t="n">
        <v>0.4</v>
      </c>
      <c r="E9" s="123" t="n">
        <v>0</v>
      </c>
      <c r="F9" s="123" t="n">
        <v>0.15</v>
      </c>
      <c r="G9" s="17" t="n">
        <f aca="false">((C9+0.2)+(D9-F9)*2)*E9</f>
        <v>0</v>
      </c>
      <c r="H9" s="17" t="n">
        <f aca="false">C9*(D9-F9)*E9</f>
        <v>0</v>
      </c>
      <c r="I9" s="123" t="n">
        <v>0</v>
      </c>
      <c r="J9" s="123" t="n">
        <v>0</v>
      </c>
      <c r="K9" s="17" t="n">
        <f aca="false">2.466*J9*E9</f>
        <v>0</v>
      </c>
      <c r="L9" s="123"/>
      <c r="M9" s="123"/>
      <c r="N9" s="125" t="n">
        <f aca="false">E9/0.15</f>
        <v>0</v>
      </c>
      <c r="O9" s="125" t="n">
        <f aca="false">0.617*M9*N9</f>
        <v>0</v>
      </c>
      <c r="P9" s="123"/>
      <c r="Q9" s="123"/>
      <c r="R9" s="124" t="n">
        <f aca="false">E9/0.15</f>
        <v>0</v>
      </c>
      <c r="S9" s="125" t="n">
        <f aca="false">0.617*Q9*R9</f>
        <v>0</v>
      </c>
      <c r="T9" s="123"/>
      <c r="U9" s="123"/>
      <c r="V9" s="17" t="n">
        <f aca="false">1.578*U9*E9</f>
        <v>0</v>
      </c>
    </row>
    <row r="10" customFormat="false" ht="14.25" hidden="false" customHeight="true" outlineLevel="0" collapsed="false">
      <c r="A10" s="121" t="s">
        <v>1090</v>
      </c>
      <c r="B10" s="17" t="s">
        <v>1087</v>
      </c>
      <c r="C10" s="123" t="n">
        <v>0.4</v>
      </c>
      <c r="D10" s="123" t="n">
        <v>0.7</v>
      </c>
      <c r="E10" s="123" t="n">
        <v>9.1</v>
      </c>
      <c r="F10" s="123" t="n">
        <v>0.15</v>
      </c>
      <c r="G10" s="17" t="n">
        <f aca="false">((C10+0.2)+(D10-F10)*2)*E10</f>
        <v>15.47</v>
      </c>
      <c r="H10" s="17" t="n">
        <f aca="false">C10*(D10-F10)*E10</f>
        <v>2.002</v>
      </c>
      <c r="I10" s="123" t="n">
        <v>25</v>
      </c>
      <c r="J10" s="123" t="n">
        <v>16</v>
      </c>
      <c r="K10" s="17" t="n">
        <f aca="false">'rebar weight'!I4*J10*E10</f>
        <v>560.9968</v>
      </c>
      <c r="L10" s="123" t="n">
        <v>12</v>
      </c>
      <c r="M10" s="123" t="n">
        <f aca="false">2.2+1.7</f>
        <v>3.9</v>
      </c>
      <c r="N10" s="125" t="n">
        <f aca="false">E10/0.15</f>
        <v>60.6666666666667</v>
      </c>
      <c r="O10" s="125" t="n">
        <f aca="false">'rebar weight'!E4*M10*N10</f>
        <v>210.1008</v>
      </c>
      <c r="P10" s="123" t="n">
        <v>10</v>
      </c>
      <c r="Q10" s="123" t="n">
        <f aca="false">0.55+0.55+0.55</f>
        <v>1.65</v>
      </c>
      <c r="R10" s="124" t="n">
        <f aca="false">E10/0.3</f>
        <v>30.3333333333333</v>
      </c>
      <c r="S10" s="125" t="n">
        <f aca="false">'rebar weight'!D4*Q10*R10</f>
        <v>30.88085</v>
      </c>
      <c r="T10" s="123" t="n">
        <v>16</v>
      </c>
      <c r="U10" s="123" t="n">
        <v>4</v>
      </c>
      <c r="V10" s="17" t="n">
        <f aca="false">'rebar weight'!G4*U10*E10</f>
        <v>57.4392</v>
      </c>
    </row>
    <row r="11" customFormat="false" ht="14.25" hidden="false" customHeight="true" outlineLevel="0" collapsed="false">
      <c r="G11" s="10" t="n">
        <f aca="false">SUM(G3:G10)</f>
        <v>446.526</v>
      </c>
      <c r="H11" s="10" t="n">
        <f aca="false">SUM(H3:H10)</f>
        <v>46.74115</v>
      </c>
    </row>
    <row r="14" customFormat="false" ht="14.25" hidden="false" customHeight="true" outlineLevel="0" collapsed="false">
      <c r="I14" s="10" t="n">
        <v>8</v>
      </c>
      <c r="J14" s="126" t="n">
        <f aca="false">O3+O4+O5+S3+S4+S5</f>
        <v>624.1948</v>
      </c>
      <c r="K14" s="126" t="n">
        <f aca="false">J14/$H$11</f>
        <v>13.3542884588847</v>
      </c>
    </row>
    <row r="15" customFormat="false" ht="14.25" hidden="false" customHeight="true" outlineLevel="0" collapsed="false">
      <c r="I15" s="10" t="n">
        <v>10</v>
      </c>
      <c r="J15" s="126" t="n">
        <f aca="false">O6+O7+O8+R6+R7+R8+R9+R10</f>
        <v>2823.61142</v>
      </c>
      <c r="K15" s="126" t="n">
        <f aca="false">J15/$H$11</f>
        <v>60.409541057505</v>
      </c>
    </row>
    <row r="16" customFormat="false" ht="14.25" hidden="false" customHeight="true" outlineLevel="0" collapsed="false">
      <c r="I16" s="10" t="n">
        <v>12</v>
      </c>
      <c r="J16" s="126" t="n">
        <f aca="false">O10+V4+V5+V6</f>
        <v>295.33104</v>
      </c>
      <c r="K16" s="126" t="n">
        <f aca="false">J16/$H$11</f>
        <v>6.31843760797499</v>
      </c>
    </row>
    <row r="17" customFormat="false" ht="14.25" hidden="false" customHeight="true" outlineLevel="0" collapsed="false">
      <c r="I17" s="10" t="n">
        <v>16</v>
      </c>
      <c r="J17" s="126" t="n">
        <f aca="false">K3+K4+V7+V8+V10</f>
        <v>2411.8152</v>
      </c>
      <c r="K17" s="126" t="n">
        <f aca="false">J17/$H$11</f>
        <v>51.5993979608974</v>
      </c>
    </row>
    <row r="18" customFormat="false" ht="14.25" hidden="false" customHeight="true" outlineLevel="0" collapsed="false">
      <c r="I18" s="10" t="n">
        <v>20</v>
      </c>
      <c r="J18" s="126" t="n">
        <f aca="false">K5+K6+K7</f>
        <v>1819.6614</v>
      </c>
      <c r="K18" s="126" t="n">
        <f aca="false">J18/$H$11</f>
        <v>38.9306082541829</v>
      </c>
    </row>
    <row r="19" customFormat="false" ht="14.25" hidden="false" customHeight="true" outlineLevel="0" collapsed="false">
      <c r="I19" s="10" t="n">
        <v>25</v>
      </c>
      <c r="J19" s="126" t="n">
        <f aca="false">K8+K10</f>
        <v>7527.2208</v>
      </c>
      <c r="K19" s="126" t="n">
        <f aca="false">J19/$H$11</f>
        <v>161.040556340612</v>
      </c>
    </row>
    <row r="20" customFormat="false" ht="14.25" hidden="false" customHeight="true" outlineLevel="0" collapsed="false">
      <c r="J20" s="126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38" activeCellId="0" sqref="G38"/>
    </sheetView>
  </sheetViews>
  <sheetFormatPr defaultColWidth="8.71484375" defaultRowHeight="15" zeroHeight="false" outlineLevelRow="0" outlineLevelCol="0"/>
  <cols>
    <col collapsed="false" customWidth="true" hidden="false" outlineLevel="0" max="1" min="1" style="118" width="9.14"/>
    <col collapsed="false" customWidth="true" hidden="false" outlineLevel="0" max="2" min="2" style="10" width="12.57"/>
    <col collapsed="false" customWidth="true" hidden="false" outlineLevel="0" max="3" min="3" style="10" width="15.29"/>
    <col collapsed="false" customWidth="true" hidden="false" outlineLevel="0" max="4" min="4" style="10" width="16"/>
    <col collapsed="false" customWidth="true" hidden="false" outlineLevel="0" max="5" min="5" style="10" width="17.29"/>
    <col collapsed="false" customWidth="true" hidden="false" outlineLevel="0" max="6" min="6" style="10" width="19.42"/>
    <col collapsed="false" customWidth="true" hidden="false" outlineLevel="0" max="7" min="7" style="10" width="15.71"/>
    <col collapsed="false" customWidth="true" hidden="false" outlineLevel="0" max="8" min="8" style="10" width="14.57"/>
    <col collapsed="false" customWidth="true" hidden="false" outlineLevel="0" max="9" min="9" style="10" width="14.42"/>
    <col collapsed="false" customWidth="true" hidden="false" outlineLevel="0" max="10" min="10" style="10" width="19.86"/>
    <col collapsed="false" customWidth="true" hidden="false" outlineLevel="0" max="11" min="11" style="10" width="12"/>
    <col collapsed="false" customWidth="true" hidden="false" outlineLevel="0" max="12" min="12" style="10" width="7.71"/>
    <col collapsed="false" customWidth="true" hidden="false" outlineLevel="0" max="13" min="13" style="10" width="10.71"/>
    <col collapsed="false" customWidth="true" hidden="false" outlineLevel="0" max="14" min="14" style="10" width="20.71"/>
    <col collapsed="false" customWidth="true" hidden="false" outlineLevel="0" max="15" min="15" style="10" width="13"/>
    <col collapsed="false" customWidth="true" hidden="false" outlineLevel="0" max="16" min="16" style="10" width="7.71"/>
    <col collapsed="false" customWidth="true" hidden="false" outlineLevel="0" max="17" min="17" style="10" width="10.71"/>
    <col collapsed="false" customWidth="true" hidden="false" outlineLevel="0" max="18" min="18" style="10" width="20.71"/>
    <col collapsed="false" customWidth="true" hidden="false" outlineLevel="0" max="19" min="19" style="10" width="12"/>
    <col collapsed="false" customWidth="true" hidden="false" outlineLevel="0" max="20" min="20" style="10" width="13.57"/>
    <col collapsed="false" customWidth="true" hidden="false" outlineLevel="0" max="21" min="21" style="10" width="19.14"/>
    <col collapsed="false" customWidth="true" hidden="false" outlineLevel="0" max="22" min="22" style="10" width="12"/>
  </cols>
  <sheetData>
    <row r="1" customFormat="false" ht="14.25" hidden="false" customHeight="true" outlineLevel="0" collapsed="false">
      <c r="A1" s="120" t="s">
        <v>1088</v>
      </c>
      <c r="B1" s="120"/>
      <c r="C1" s="120"/>
      <c r="D1" s="120"/>
      <c r="E1" s="120"/>
      <c r="F1" s="120"/>
    </row>
    <row r="2" customFormat="false" ht="14.25" hidden="false" customHeight="true" outlineLevel="0" collapsed="false">
      <c r="A2" s="121" t="s">
        <v>1060</v>
      </c>
      <c r="B2" s="17" t="s">
        <v>1061</v>
      </c>
      <c r="C2" s="17" t="s">
        <v>1062</v>
      </c>
      <c r="D2" s="17" t="s">
        <v>1063</v>
      </c>
      <c r="E2" s="17" t="s">
        <v>1064</v>
      </c>
      <c r="F2" s="17" t="s">
        <v>1065</v>
      </c>
      <c r="G2" s="17" t="s">
        <v>1066</v>
      </c>
      <c r="H2" s="17" t="s">
        <v>1067</v>
      </c>
      <c r="I2" s="17" t="s">
        <v>1071</v>
      </c>
      <c r="J2" s="17" t="s">
        <v>1072</v>
      </c>
      <c r="K2" s="122" t="s">
        <v>1073</v>
      </c>
      <c r="L2" s="122" t="s">
        <v>1074</v>
      </c>
      <c r="M2" s="122" t="s">
        <v>1075</v>
      </c>
      <c r="N2" s="17" t="s">
        <v>1076</v>
      </c>
      <c r="O2" s="17" t="s">
        <v>1073</v>
      </c>
      <c r="P2" s="122" t="s">
        <v>1089</v>
      </c>
      <c r="Q2" s="122" t="s">
        <v>1075</v>
      </c>
      <c r="R2" s="17" t="s">
        <v>1076</v>
      </c>
      <c r="S2" s="17" t="s">
        <v>1073</v>
      </c>
      <c r="T2" s="17" t="s">
        <v>1077</v>
      </c>
      <c r="U2" s="17" t="s">
        <v>1078</v>
      </c>
      <c r="V2" s="17" t="s">
        <v>1073</v>
      </c>
    </row>
    <row r="3" customFormat="false" ht="14.25" hidden="false" customHeight="true" outlineLevel="0" collapsed="false">
      <c r="A3" s="121" t="s">
        <v>1090</v>
      </c>
      <c r="B3" s="17" t="s">
        <v>1080</v>
      </c>
      <c r="C3" s="123" t="n">
        <v>0.25</v>
      </c>
      <c r="D3" s="123" t="n">
        <v>0.4</v>
      </c>
      <c r="E3" s="123" t="n">
        <v>125</v>
      </c>
      <c r="F3" s="123" t="n">
        <v>0.15</v>
      </c>
      <c r="G3" s="17" t="n">
        <f aca="false">((C3+0.2)+(D3-F3)*2)*E3</f>
        <v>118.75</v>
      </c>
      <c r="H3" s="17" t="n">
        <f aca="false">C3*(D3-F3)*E3</f>
        <v>7.8125</v>
      </c>
      <c r="I3" s="123" t="n">
        <v>16</v>
      </c>
      <c r="J3" s="123" t="n">
        <v>6</v>
      </c>
      <c r="K3" s="17" t="n">
        <f aca="false">J3*E3*'rebar weight'!G4</f>
        <v>1183.5</v>
      </c>
      <c r="L3" s="123" t="n">
        <v>8</v>
      </c>
      <c r="M3" s="123" t="n">
        <v>1.2</v>
      </c>
      <c r="N3" s="125" t="n">
        <f aca="false">E3/0.15</f>
        <v>833.333333333333</v>
      </c>
      <c r="O3" s="125" t="n">
        <f aca="false">M3*N3*'rebar weight'!C4</f>
        <v>395</v>
      </c>
      <c r="P3" s="123" t="n">
        <v>0</v>
      </c>
      <c r="Q3" s="123" t="n">
        <v>0</v>
      </c>
      <c r="R3" s="124" t="n">
        <f aca="false">E3/0.15</f>
        <v>833.333333333333</v>
      </c>
      <c r="S3" s="125" t="n">
        <f aca="false">0.395*Q3*R3</f>
        <v>0</v>
      </c>
      <c r="T3" s="123" t="n">
        <v>0</v>
      </c>
      <c r="U3" s="123" t="n">
        <v>0</v>
      </c>
      <c r="V3" s="17" t="n">
        <f aca="false">'rebar weight'!E3*U3*E3</f>
        <v>0</v>
      </c>
    </row>
    <row r="4" customFormat="false" ht="14.25" hidden="false" customHeight="true" outlineLevel="0" collapsed="false">
      <c r="A4" s="121" t="s">
        <v>1090</v>
      </c>
      <c r="B4" s="17" t="s">
        <v>1081</v>
      </c>
      <c r="C4" s="123" t="n">
        <v>0.25</v>
      </c>
      <c r="D4" s="123" t="n">
        <v>0.5</v>
      </c>
      <c r="E4" s="123" t="n">
        <v>43</v>
      </c>
      <c r="F4" s="123" t="n">
        <v>0.15</v>
      </c>
      <c r="G4" s="17" t="n">
        <f aca="false">((C4+0.2)+(D4-F4)*2)*E4</f>
        <v>49.45</v>
      </c>
      <c r="H4" s="17" t="n">
        <f aca="false">C4*(D4-F4)*E4</f>
        <v>3.7625</v>
      </c>
      <c r="I4" s="123" t="n">
        <v>16</v>
      </c>
      <c r="J4" s="123" t="n">
        <v>10</v>
      </c>
      <c r="K4" s="17" t="n">
        <f aca="false">'rebar weight'!G4*J4*E4</f>
        <v>678.54</v>
      </c>
      <c r="L4" s="123" t="n">
        <v>8</v>
      </c>
      <c r="M4" s="123" t="n">
        <f aca="false">1.4</f>
        <v>1.4</v>
      </c>
      <c r="N4" s="125" t="n">
        <f aca="false">E4/0.15</f>
        <v>286.666666666667</v>
      </c>
      <c r="O4" s="125" t="n">
        <f aca="false">0.395*M4*N4</f>
        <v>158.526666666667</v>
      </c>
      <c r="P4" s="123" t="n">
        <v>8</v>
      </c>
      <c r="Q4" s="123" t="n">
        <f aca="false">0.4</f>
        <v>0.4</v>
      </c>
      <c r="R4" s="124" t="n">
        <f aca="false">E4/0.15</f>
        <v>286.666666666667</v>
      </c>
      <c r="S4" s="125" t="n">
        <f aca="false">0.395*Q4*R4</f>
        <v>45.2933333333333</v>
      </c>
      <c r="T4" s="123" t="n">
        <v>12</v>
      </c>
      <c r="U4" s="123" t="n">
        <v>2</v>
      </c>
      <c r="V4" s="17" t="n">
        <f aca="false">'rebar weight'!E4*U4*E4</f>
        <v>76.368</v>
      </c>
    </row>
    <row r="5" customFormat="false" ht="14.25" hidden="false" customHeight="true" outlineLevel="0" collapsed="false">
      <c r="A5" s="121" t="s">
        <v>1090</v>
      </c>
      <c r="B5" s="17" t="s">
        <v>1082</v>
      </c>
      <c r="C5" s="123" t="n">
        <v>0.3</v>
      </c>
      <c r="D5" s="123" t="n">
        <v>0.5</v>
      </c>
      <c r="E5" s="123" t="n">
        <v>3.65</v>
      </c>
      <c r="F5" s="123" t="n">
        <v>0.15</v>
      </c>
      <c r="G5" s="17" t="n">
        <f aca="false">((C5+0.2)+(D5-F5)*2)*E5</f>
        <v>4.38</v>
      </c>
      <c r="H5" s="17" t="n">
        <f aca="false">C5*(D5-F5)*E5</f>
        <v>0.38325</v>
      </c>
      <c r="I5" s="123" t="n">
        <v>20</v>
      </c>
      <c r="J5" s="123" t="n">
        <v>10</v>
      </c>
      <c r="K5" s="17" t="n">
        <f aca="false">'rebar weight'!H4*J5*E5</f>
        <v>90.009</v>
      </c>
      <c r="L5" s="123" t="n">
        <v>8</v>
      </c>
      <c r="M5" s="123" t="n">
        <f aca="false">1.5</f>
        <v>1.5</v>
      </c>
      <c r="N5" s="125" t="n">
        <f aca="false">E5/0.15</f>
        <v>24.3333333333333</v>
      </c>
      <c r="O5" s="125" t="n">
        <f aca="false">'rebar weight'!C4*M5*N5</f>
        <v>14.4175</v>
      </c>
      <c r="P5" s="123" t="n">
        <v>8</v>
      </c>
      <c r="Q5" s="123" t="n">
        <f aca="false">0.64+0.5</f>
        <v>1.14</v>
      </c>
      <c r="R5" s="124" t="n">
        <f aca="false">E5/0.15</f>
        <v>24.3333333333333</v>
      </c>
      <c r="S5" s="125" t="n">
        <f aca="false">0.395*Q5*R5</f>
        <v>10.9573</v>
      </c>
      <c r="T5" s="123" t="n">
        <v>12</v>
      </c>
      <c r="U5" s="123" t="n">
        <v>2</v>
      </c>
      <c r="V5" s="17" t="n">
        <f aca="false">0.888*U5*E5</f>
        <v>6.4824</v>
      </c>
    </row>
    <row r="6" customFormat="false" ht="14.25" hidden="false" customHeight="true" outlineLevel="0" collapsed="false">
      <c r="A6" s="121" t="s">
        <v>1090</v>
      </c>
      <c r="B6" s="17" t="s">
        <v>1083</v>
      </c>
      <c r="C6" s="123" t="n">
        <v>0.3</v>
      </c>
      <c r="D6" s="123" t="n">
        <v>0.6</v>
      </c>
      <c r="E6" s="123" t="n">
        <v>1.34</v>
      </c>
      <c r="F6" s="123" t="n">
        <v>0.15</v>
      </c>
      <c r="G6" s="17" t="n">
        <f aca="false">((C6+0.2)+(D6-F6)*2)*E6</f>
        <v>1.876</v>
      </c>
      <c r="H6" s="17" t="n">
        <f aca="false">C6*(D6-F6)*E6</f>
        <v>0.1809</v>
      </c>
      <c r="I6" s="123" t="n">
        <v>20</v>
      </c>
      <c r="J6" s="123" t="n">
        <v>10</v>
      </c>
      <c r="K6" s="17" t="n">
        <f aca="false">2.466*J6*E6</f>
        <v>33.0444</v>
      </c>
      <c r="L6" s="123" t="n">
        <v>10</v>
      </c>
      <c r="M6" s="123" t="n">
        <f aca="false">1.6+0.75+0.5+0.5</f>
        <v>3.35</v>
      </c>
      <c r="N6" s="125" t="n">
        <f aca="false">E6/0.15</f>
        <v>8.93333333333333</v>
      </c>
      <c r="O6" s="125" t="n">
        <f aca="false">0.617*M6*N6</f>
        <v>18.4647533333333</v>
      </c>
      <c r="P6" s="123" t="n">
        <v>10</v>
      </c>
      <c r="Q6" s="123" t="n">
        <f aca="false">1.6+0.75+0.5+0.5</f>
        <v>3.35</v>
      </c>
      <c r="R6" s="124" t="n">
        <f aca="false">E6/0.15</f>
        <v>8.93333333333333</v>
      </c>
      <c r="S6" s="125" t="n">
        <f aca="false">0.617*Q6*R6</f>
        <v>18.4647533333333</v>
      </c>
      <c r="T6" s="123" t="n">
        <v>12</v>
      </c>
      <c r="U6" s="123" t="n">
        <v>2</v>
      </c>
      <c r="V6" s="17" t="n">
        <f aca="false">0.888*U6*E6</f>
        <v>2.37984</v>
      </c>
    </row>
    <row r="7" customFormat="false" ht="14.25" hidden="false" customHeight="true" outlineLevel="0" collapsed="false">
      <c r="A7" s="121" t="s">
        <v>1090</v>
      </c>
      <c r="B7" s="17" t="s">
        <v>1084</v>
      </c>
      <c r="C7" s="123" t="n">
        <v>0.4</v>
      </c>
      <c r="D7" s="123" t="n">
        <v>0.6</v>
      </c>
      <c r="E7" s="123" t="n">
        <v>43</v>
      </c>
      <c r="F7" s="123" t="n">
        <v>0.15</v>
      </c>
      <c r="G7" s="17" t="n">
        <f aca="false">((C7+0.2)+(D7-F7)*2)*E7</f>
        <v>64.5</v>
      </c>
      <c r="H7" s="17" t="n">
        <f aca="false">C7*(D7-F7)*E7</f>
        <v>7.74</v>
      </c>
      <c r="I7" s="123" t="n">
        <v>20</v>
      </c>
      <c r="J7" s="123" t="n">
        <v>16</v>
      </c>
      <c r="K7" s="17" t="n">
        <f aca="false">'rebar weight'!H4*J7*E7</f>
        <v>1696.608</v>
      </c>
      <c r="L7" s="123" t="n">
        <v>10</v>
      </c>
      <c r="M7" s="123" t="n">
        <f aca="false">2+1.5</f>
        <v>3.5</v>
      </c>
      <c r="N7" s="125" t="n">
        <f aca="false">E7/0.15</f>
        <v>286.666666666667</v>
      </c>
      <c r="O7" s="125" t="n">
        <f aca="false">0.617*M7*N7</f>
        <v>619.056666666667</v>
      </c>
      <c r="P7" s="123" t="n">
        <v>10</v>
      </c>
      <c r="Q7" s="123" t="n">
        <f aca="false">0.6+0.6</f>
        <v>1.2</v>
      </c>
      <c r="R7" s="124" t="n">
        <f aca="false">E7/0.3</f>
        <v>143.333333333333</v>
      </c>
      <c r="S7" s="125" t="n">
        <f aca="false">0.617*Q7*R7</f>
        <v>106.124</v>
      </c>
      <c r="T7" s="123" t="n">
        <v>16</v>
      </c>
      <c r="U7" s="123" t="n">
        <v>2</v>
      </c>
      <c r="V7" s="17" t="n">
        <f aca="false">'rebar weight'!G4*U7*E7</f>
        <v>135.708</v>
      </c>
    </row>
    <row r="8" customFormat="false" ht="14.25" hidden="false" customHeight="true" outlineLevel="0" collapsed="false">
      <c r="A8" s="121" t="s">
        <v>1090</v>
      </c>
      <c r="B8" s="17" t="s">
        <v>1085</v>
      </c>
      <c r="C8" s="123" t="n">
        <v>0.4</v>
      </c>
      <c r="D8" s="123" t="n">
        <v>0.7</v>
      </c>
      <c r="E8" s="123" t="n">
        <v>113</v>
      </c>
      <c r="F8" s="123" t="n">
        <v>0.15</v>
      </c>
      <c r="G8" s="17" t="n">
        <f aca="false">((C8+0.2)+(D8-F8)*2)*E8</f>
        <v>192.1</v>
      </c>
      <c r="H8" s="17" t="n">
        <f aca="false">C8*(D8-F8)*E8</f>
        <v>24.86</v>
      </c>
      <c r="I8" s="123" t="n">
        <v>25</v>
      </c>
      <c r="J8" s="123" t="n">
        <v>16</v>
      </c>
      <c r="K8" s="17" t="n">
        <f aca="false">'rebar weight'!I4*J8*E8</f>
        <v>6966.224</v>
      </c>
      <c r="L8" s="123" t="n">
        <v>10</v>
      </c>
      <c r="M8" s="123" t="n">
        <f aca="false">2+1.5</f>
        <v>3.5</v>
      </c>
      <c r="N8" s="125" t="n">
        <f aca="false">E8/0.15</f>
        <v>753.333333333333</v>
      </c>
      <c r="O8" s="125" t="n">
        <f aca="false">0.617*M8*N8</f>
        <v>1626.82333333333</v>
      </c>
      <c r="P8" s="123" t="n">
        <v>10</v>
      </c>
      <c r="Q8" s="123" t="n">
        <f aca="false">0.6+0.6</f>
        <v>1.2</v>
      </c>
      <c r="R8" s="124" t="n">
        <f aca="false">E8/0.3</f>
        <v>376.666666666667</v>
      </c>
      <c r="S8" s="125" t="n">
        <f aca="false">0.617*Q8*R8</f>
        <v>278.884</v>
      </c>
      <c r="T8" s="123" t="n">
        <v>16</v>
      </c>
      <c r="U8" s="123" t="n">
        <v>2</v>
      </c>
      <c r="V8" s="17" t="n">
        <f aca="false">'rebar weight'!G4*U8*E8</f>
        <v>356.628</v>
      </c>
    </row>
    <row r="9" customFormat="false" ht="14.25" hidden="false" customHeight="true" outlineLevel="0" collapsed="false">
      <c r="A9" s="121" t="s">
        <v>1090</v>
      </c>
      <c r="B9" s="17" t="s">
        <v>1086</v>
      </c>
      <c r="C9" s="123" t="n">
        <v>0.2</v>
      </c>
      <c r="D9" s="123" t="n">
        <v>0.4</v>
      </c>
      <c r="E9" s="123" t="n">
        <v>0</v>
      </c>
      <c r="F9" s="123" t="n">
        <v>0.15</v>
      </c>
      <c r="G9" s="17" t="n">
        <f aca="false">((C9+0.2)+(D9-F9)*2)*E9</f>
        <v>0</v>
      </c>
      <c r="H9" s="17" t="n">
        <f aca="false">C9*(D9-F9)*E9</f>
        <v>0</v>
      </c>
      <c r="I9" s="123" t="n">
        <v>0</v>
      </c>
      <c r="J9" s="123" t="n">
        <v>0</v>
      </c>
      <c r="K9" s="17" t="n">
        <f aca="false">2.466*J9*E9</f>
        <v>0</v>
      </c>
      <c r="L9" s="123"/>
      <c r="M9" s="123"/>
      <c r="N9" s="125" t="n">
        <f aca="false">E9/0.15</f>
        <v>0</v>
      </c>
      <c r="O9" s="125" t="n">
        <f aca="false">0.617*M9*N9</f>
        <v>0</v>
      </c>
      <c r="P9" s="123"/>
      <c r="Q9" s="123"/>
      <c r="R9" s="124" t="n">
        <f aca="false">E9/0.15</f>
        <v>0</v>
      </c>
      <c r="S9" s="125" t="n">
        <f aca="false">0.617*Q9*R9</f>
        <v>0</v>
      </c>
      <c r="T9" s="123"/>
      <c r="U9" s="123"/>
      <c r="V9" s="17" t="n">
        <f aca="false">1.578*U9*E9</f>
        <v>0</v>
      </c>
    </row>
    <row r="10" customFormat="false" ht="14.25" hidden="false" customHeight="true" outlineLevel="0" collapsed="false">
      <c r="A10" s="121" t="s">
        <v>1090</v>
      </c>
      <c r="B10" s="17" t="s">
        <v>1087</v>
      </c>
      <c r="C10" s="123" t="n">
        <v>0.4</v>
      </c>
      <c r="D10" s="123" t="n">
        <v>0.7</v>
      </c>
      <c r="E10" s="123" t="n">
        <v>9.1</v>
      </c>
      <c r="F10" s="123" t="n">
        <v>0.15</v>
      </c>
      <c r="G10" s="17" t="n">
        <f aca="false">((C10+0.2)+(D10-F10)*2)*E10</f>
        <v>15.47</v>
      </c>
      <c r="H10" s="17" t="n">
        <f aca="false">C10*(D10-F10)*E10</f>
        <v>2.002</v>
      </c>
      <c r="I10" s="123" t="n">
        <v>25</v>
      </c>
      <c r="J10" s="123" t="n">
        <v>16</v>
      </c>
      <c r="K10" s="17" t="n">
        <f aca="false">'rebar weight'!I4*J10*E10</f>
        <v>560.9968</v>
      </c>
      <c r="L10" s="123" t="n">
        <v>12</v>
      </c>
      <c r="M10" s="123" t="n">
        <f aca="false">2.2+1.7</f>
        <v>3.9</v>
      </c>
      <c r="N10" s="125" t="n">
        <f aca="false">E10/0.15</f>
        <v>60.6666666666667</v>
      </c>
      <c r="O10" s="125" t="n">
        <f aca="false">'rebar weight'!E4*M10*N10</f>
        <v>210.1008</v>
      </c>
      <c r="P10" s="123" t="n">
        <v>10</v>
      </c>
      <c r="Q10" s="123" t="n">
        <f aca="false">0.55+0.55+0.55</f>
        <v>1.65</v>
      </c>
      <c r="R10" s="124" t="n">
        <f aca="false">E10/0.3</f>
        <v>30.3333333333333</v>
      </c>
      <c r="S10" s="125" t="n">
        <f aca="false">'rebar weight'!D4*Q10*R10</f>
        <v>30.88085</v>
      </c>
      <c r="T10" s="123" t="n">
        <v>16</v>
      </c>
      <c r="U10" s="123" t="n">
        <v>4</v>
      </c>
      <c r="V10" s="17" t="n">
        <f aca="false">'rebar weight'!G4*U10*E10</f>
        <v>57.4392</v>
      </c>
    </row>
    <row r="11" customFormat="false" ht="14.25" hidden="false" customHeight="true" outlineLevel="0" collapsed="false">
      <c r="G11" s="10" t="n">
        <f aca="false">SUM(G3:G10)</f>
        <v>446.526</v>
      </c>
      <c r="H11" s="10" t="n">
        <f aca="false">SUM(H3:H10)</f>
        <v>46.74115</v>
      </c>
    </row>
    <row r="14" customFormat="false" ht="14.25" hidden="false" customHeight="true" outlineLevel="0" collapsed="false">
      <c r="I14" s="10" t="n">
        <v>8</v>
      </c>
      <c r="J14" s="126" t="n">
        <f aca="false">O3+O4+O5+S3+S4+S5</f>
        <v>624.1948</v>
      </c>
      <c r="K14" s="126" t="n">
        <f aca="false">J14/$H$11</f>
        <v>13.3542884588847</v>
      </c>
    </row>
    <row r="15" customFormat="false" ht="14.25" hidden="false" customHeight="true" outlineLevel="0" collapsed="false">
      <c r="I15" s="10" t="n">
        <v>10</v>
      </c>
      <c r="J15" s="126" t="n">
        <f aca="false">O6+O7+O8+R6+R7+R8+R9+R10</f>
        <v>2823.61142</v>
      </c>
      <c r="K15" s="126" t="n">
        <f aca="false">J15/$H$11</f>
        <v>60.409541057505</v>
      </c>
    </row>
    <row r="16" customFormat="false" ht="14.25" hidden="false" customHeight="true" outlineLevel="0" collapsed="false">
      <c r="I16" s="10" t="n">
        <v>12</v>
      </c>
      <c r="J16" s="126" t="n">
        <f aca="false">O10+V4+V5+V6</f>
        <v>295.33104</v>
      </c>
      <c r="K16" s="126" t="n">
        <f aca="false">J16/$H$11</f>
        <v>6.31843760797499</v>
      </c>
    </row>
    <row r="17" customFormat="false" ht="14.25" hidden="false" customHeight="true" outlineLevel="0" collapsed="false">
      <c r="I17" s="10" t="n">
        <v>16</v>
      </c>
      <c r="J17" s="126" t="n">
        <f aca="false">K3+K4+V7+V8+V10</f>
        <v>2411.8152</v>
      </c>
      <c r="K17" s="126" t="n">
        <f aca="false">J17/$H$11</f>
        <v>51.5993979608974</v>
      </c>
    </row>
    <row r="18" customFormat="false" ht="14.25" hidden="false" customHeight="true" outlineLevel="0" collapsed="false">
      <c r="I18" s="10" t="n">
        <v>20</v>
      </c>
      <c r="J18" s="126" t="n">
        <f aca="false">K5+K6+K7</f>
        <v>1819.6614</v>
      </c>
      <c r="K18" s="126" t="n">
        <f aca="false">J18/$H$11</f>
        <v>38.9306082541829</v>
      </c>
    </row>
    <row r="19" customFormat="false" ht="14.25" hidden="false" customHeight="true" outlineLevel="0" collapsed="false">
      <c r="I19" s="10" t="n">
        <v>25</v>
      </c>
      <c r="J19" s="126" t="n">
        <f aca="false">K8+K10</f>
        <v>7527.2208</v>
      </c>
      <c r="K19" s="126" t="n">
        <f aca="false">J19/$H$11</f>
        <v>161.040556340612</v>
      </c>
    </row>
    <row r="20" customFormat="false" ht="14.25" hidden="false" customHeight="true" outlineLevel="0" collapsed="false">
      <c r="J20" s="126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38" activeCellId="0" sqref="G38"/>
    </sheetView>
  </sheetViews>
  <sheetFormatPr defaultColWidth="8.71484375" defaultRowHeight="15" zeroHeight="false" outlineLevelRow="0" outlineLevelCol="0"/>
  <cols>
    <col collapsed="false" customWidth="true" hidden="false" outlineLevel="0" max="1" min="1" style="118" width="9.14"/>
    <col collapsed="false" customWidth="true" hidden="false" outlineLevel="0" max="2" min="2" style="10" width="12.57"/>
    <col collapsed="false" customWidth="true" hidden="false" outlineLevel="0" max="3" min="3" style="10" width="15.29"/>
    <col collapsed="false" customWidth="true" hidden="false" outlineLevel="0" max="4" min="4" style="10" width="16"/>
    <col collapsed="false" customWidth="true" hidden="false" outlineLevel="0" max="5" min="5" style="10" width="17.29"/>
    <col collapsed="false" customWidth="true" hidden="false" outlineLevel="0" max="6" min="6" style="10" width="19.42"/>
    <col collapsed="false" customWidth="true" hidden="false" outlineLevel="0" max="7" min="7" style="10" width="15.71"/>
    <col collapsed="false" customWidth="true" hidden="false" outlineLevel="0" max="8" min="8" style="10" width="14.57"/>
    <col collapsed="false" customWidth="true" hidden="false" outlineLevel="0" max="9" min="9" style="10" width="14.42"/>
    <col collapsed="false" customWidth="true" hidden="false" outlineLevel="0" max="10" min="10" style="10" width="19.86"/>
    <col collapsed="false" customWidth="true" hidden="false" outlineLevel="0" max="11" min="11" style="10" width="12"/>
    <col collapsed="false" customWidth="true" hidden="false" outlineLevel="0" max="12" min="12" style="10" width="7.71"/>
    <col collapsed="false" customWidth="true" hidden="false" outlineLevel="0" max="13" min="13" style="10" width="10.71"/>
    <col collapsed="false" customWidth="true" hidden="false" outlineLevel="0" max="14" min="14" style="10" width="20.71"/>
    <col collapsed="false" customWidth="true" hidden="false" outlineLevel="0" max="15" min="15" style="10" width="13"/>
    <col collapsed="false" customWidth="true" hidden="false" outlineLevel="0" max="16" min="16" style="10" width="7.71"/>
    <col collapsed="false" customWidth="true" hidden="false" outlineLevel="0" max="17" min="17" style="10" width="10.71"/>
    <col collapsed="false" customWidth="true" hidden="false" outlineLevel="0" max="18" min="18" style="10" width="20.71"/>
    <col collapsed="false" customWidth="true" hidden="false" outlineLevel="0" max="19" min="19" style="10" width="12"/>
    <col collapsed="false" customWidth="true" hidden="false" outlineLevel="0" max="20" min="20" style="10" width="13.57"/>
    <col collapsed="false" customWidth="true" hidden="false" outlineLevel="0" max="21" min="21" style="10" width="19.14"/>
    <col collapsed="false" customWidth="true" hidden="false" outlineLevel="0" max="22" min="22" style="10" width="12"/>
  </cols>
  <sheetData>
    <row r="1" customFormat="false" ht="14.25" hidden="false" customHeight="true" outlineLevel="0" collapsed="false">
      <c r="A1" s="120" t="s">
        <v>1088</v>
      </c>
      <c r="B1" s="120"/>
      <c r="C1" s="120"/>
      <c r="D1" s="120"/>
      <c r="E1" s="120"/>
      <c r="F1" s="120"/>
    </row>
    <row r="2" customFormat="false" ht="14.25" hidden="false" customHeight="true" outlineLevel="0" collapsed="false">
      <c r="A2" s="121" t="s">
        <v>1060</v>
      </c>
      <c r="B2" s="17" t="s">
        <v>1061</v>
      </c>
      <c r="C2" s="17" t="s">
        <v>1062</v>
      </c>
      <c r="D2" s="17" t="s">
        <v>1063</v>
      </c>
      <c r="E2" s="17" t="s">
        <v>1064</v>
      </c>
      <c r="F2" s="17" t="s">
        <v>1065</v>
      </c>
      <c r="G2" s="17" t="s">
        <v>1066</v>
      </c>
      <c r="H2" s="17" t="s">
        <v>1067</v>
      </c>
      <c r="I2" s="17" t="s">
        <v>1071</v>
      </c>
      <c r="J2" s="17" t="s">
        <v>1072</v>
      </c>
      <c r="K2" s="122" t="s">
        <v>1073</v>
      </c>
      <c r="L2" s="122" t="s">
        <v>1074</v>
      </c>
      <c r="M2" s="122" t="s">
        <v>1075</v>
      </c>
      <c r="N2" s="17" t="s">
        <v>1076</v>
      </c>
      <c r="O2" s="17" t="s">
        <v>1073</v>
      </c>
      <c r="P2" s="122" t="s">
        <v>1089</v>
      </c>
      <c r="Q2" s="122" t="s">
        <v>1075</v>
      </c>
      <c r="R2" s="17" t="s">
        <v>1076</v>
      </c>
      <c r="S2" s="17" t="s">
        <v>1073</v>
      </c>
      <c r="T2" s="17" t="s">
        <v>1077</v>
      </c>
      <c r="U2" s="17" t="s">
        <v>1078</v>
      </c>
      <c r="V2" s="17" t="s">
        <v>1073</v>
      </c>
    </row>
    <row r="3" customFormat="false" ht="14.25" hidden="false" customHeight="true" outlineLevel="0" collapsed="false">
      <c r="A3" s="121" t="s">
        <v>1090</v>
      </c>
      <c r="B3" s="17" t="s">
        <v>1080</v>
      </c>
      <c r="C3" s="123" t="n">
        <v>0.25</v>
      </c>
      <c r="D3" s="123" t="n">
        <v>0.4</v>
      </c>
      <c r="E3" s="123" t="n">
        <v>125</v>
      </c>
      <c r="F3" s="123" t="n">
        <v>0.15</v>
      </c>
      <c r="G3" s="17" t="n">
        <f aca="false">((C3+0.2)+(D3-F3)*2)*E3</f>
        <v>118.75</v>
      </c>
      <c r="H3" s="17" t="n">
        <f aca="false">C3*(D3-F3)*E3</f>
        <v>7.8125</v>
      </c>
      <c r="I3" s="123" t="n">
        <v>16</v>
      </c>
      <c r="J3" s="123" t="n">
        <v>6</v>
      </c>
      <c r="K3" s="17" t="n">
        <f aca="false">J3*E3*'rebar weight'!G4</f>
        <v>1183.5</v>
      </c>
      <c r="L3" s="123" t="n">
        <v>8</v>
      </c>
      <c r="M3" s="123" t="n">
        <v>1.2</v>
      </c>
      <c r="N3" s="125" t="n">
        <f aca="false">E3/0.15</f>
        <v>833.333333333333</v>
      </c>
      <c r="O3" s="125" t="n">
        <f aca="false">M3*N3*'rebar weight'!C4</f>
        <v>395</v>
      </c>
      <c r="P3" s="123" t="n">
        <v>0</v>
      </c>
      <c r="Q3" s="123" t="n">
        <v>0</v>
      </c>
      <c r="R3" s="124" t="n">
        <f aca="false">E3/0.15</f>
        <v>833.333333333333</v>
      </c>
      <c r="S3" s="125" t="n">
        <f aca="false">0.395*Q3*R3</f>
        <v>0</v>
      </c>
      <c r="T3" s="123" t="n">
        <v>0</v>
      </c>
      <c r="U3" s="123" t="n">
        <v>0</v>
      </c>
      <c r="V3" s="17" t="n">
        <f aca="false">'rebar weight'!E3*U3*E3</f>
        <v>0</v>
      </c>
    </row>
    <row r="4" customFormat="false" ht="14.25" hidden="false" customHeight="true" outlineLevel="0" collapsed="false">
      <c r="A4" s="121" t="s">
        <v>1090</v>
      </c>
      <c r="B4" s="17" t="s">
        <v>1081</v>
      </c>
      <c r="C4" s="123" t="n">
        <v>0.25</v>
      </c>
      <c r="D4" s="123" t="n">
        <v>0.5</v>
      </c>
      <c r="E4" s="123" t="n">
        <v>43</v>
      </c>
      <c r="F4" s="123" t="n">
        <v>0.15</v>
      </c>
      <c r="G4" s="17" t="n">
        <f aca="false">((C4+0.2)+(D4-F4)*2)*E4</f>
        <v>49.45</v>
      </c>
      <c r="H4" s="17" t="n">
        <f aca="false">C4*(D4-F4)*E4</f>
        <v>3.7625</v>
      </c>
      <c r="I4" s="123" t="n">
        <v>16</v>
      </c>
      <c r="J4" s="123" t="n">
        <v>10</v>
      </c>
      <c r="K4" s="17" t="n">
        <f aca="false">'rebar weight'!G4*J4*E4</f>
        <v>678.54</v>
      </c>
      <c r="L4" s="123" t="n">
        <v>8</v>
      </c>
      <c r="M4" s="123" t="n">
        <f aca="false">1.4</f>
        <v>1.4</v>
      </c>
      <c r="N4" s="125" t="n">
        <f aca="false">E4/0.15</f>
        <v>286.666666666667</v>
      </c>
      <c r="O4" s="125" t="n">
        <f aca="false">0.395*M4*N4</f>
        <v>158.526666666667</v>
      </c>
      <c r="P4" s="123" t="n">
        <v>8</v>
      </c>
      <c r="Q4" s="123" t="n">
        <f aca="false">0.4</f>
        <v>0.4</v>
      </c>
      <c r="R4" s="124" t="n">
        <f aca="false">E4/0.15</f>
        <v>286.666666666667</v>
      </c>
      <c r="S4" s="125" t="n">
        <f aca="false">0.395*Q4*R4</f>
        <v>45.2933333333333</v>
      </c>
      <c r="T4" s="123" t="n">
        <v>12</v>
      </c>
      <c r="U4" s="123" t="n">
        <v>2</v>
      </c>
      <c r="V4" s="17" t="n">
        <f aca="false">'rebar weight'!E4*U4*E4</f>
        <v>76.368</v>
      </c>
    </row>
    <row r="5" customFormat="false" ht="14.25" hidden="false" customHeight="true" outlineLevel="0" collapsed="false">
      <c r="A5" s="121" t="s">
        <v>1090</v>
      </c>
      <c r="B5" s="17" t="s">
        <v>1082</v>
      </c>
      <c r="C5" s="123" t="n">
        <v>0.3</v>
      </c>
      <c r="D5" s="123" t="n">
        <v>0.5</v>
      </c>
      <c r="E5" s="123" t="n">
        <v>3.65</v>
      </c>
      <c r="F5" s="123" t="n">
        <v>0.15</v>
      </c>
      <c r="G5" s="17" t="n">
        <f aca="false">((C5+0.2)+(D5-F5)*2)*E5</f>
        <v>4.38</v>
      </c>
      <c r="H5" s="17" t="n">
        <f aca="false">C5*(D5-F5)*E5</f>
        <v>0.38325</v>
      </c>
      <c r="I5" s="123" t="n">
        <v>20</v>
      </c>
      <c r="J5" s="123" t="n">
        <v>10</v>
      </c>
      <c r="K5" s="17" t="n">
        <f aca="false">'rebar weight'!H4*J5*E5</f>
        <v>90.009</v>
      </c>
      <c r="L5" s="123" t="n">
        <v>8</v>
      </c>
      <c r="M5" s="123" t="n">
        <f aca="false">1.5</f>
        <v>1.5</v>
      </c>
      <c r="N5" s="125" t="n">
        <f aca="false">E5/0.15</f>
        <v>24.3333333333333</v>
      </c>
      <c r="O5" s="125" t="n">
        <f aca="false">'rebar weight'!C4*M5*N5</f>
        <v>14.4175</v>
      </c>
      <c r="P5" s="123" t="n">
        <v>8</v>
      </c>
      <c r="Q5" s="123" t="n">
        <f aca="false">0.64+0.5</f>
        <v>1.14</v>
      </c>
      <c r="R5" s="124" t="n">
        <f aca="false">E5/0.15</f>
        <v>24.3333333333333</v>
      </c>
      <c r="S5" s="125" t="n">
        <f aca="false">0.395*Q5*R5</f>
        <v>10.9573</v>
      </c>
      <c r="T5" s="123" t="n">
        <v>12</v>
      </c>
      <c r="U5" s="123" t="n">
        <v>2</v>
      </c>
      <c r="V5" s="17" t="n">
        <f aca="false">0.888*U5*E5</f>
        <v>6.4824</v>
      </c>
    </row>
    <row r="6" customFormat="false" ht="14.25" hidden="false" customHeight="true" outlineLevel="0" collapsed="false">
      <c r="A6" s="121" t="s">
        <v>1090</v>
      </c>
      <c r="B6" s="17" t="s">
        <v>1083</v>
      </c>
      <c r="C6" s="123" t="n">
        <v>0.3</v>
      </c>
      <c r="D6" s="123" t="n">
        <v>0.6</v>
      </c>
      <c r="E6" s="123" t="n">
        <v>1.34</v>
      </c>
      <c r="F6" s="123" t="n">
        <v>0.15</v>
      </c>
      <c r="G6" s="17" t="n">
        <f aca="false">((C6+0.2)+(D6-F6)*2)*E6</f>
        <v>1.876</v>
      </c>
      <c r="H6" s="17" t="n">
        <f aca="false">C6*(D6-F6)*E6</f>
        <v>0.1809</v>
      </c>
      <c r="I6" s="123" t="n">
        <v>20</v>
      </c>
      <c r="J6" s="123" t="n">
        <v>10</v>
      </c>
      <c r="K6" s="17" t="n">
        <f aca="false">2.466*J6*E6</f>
        <v>33.0444</v>
      </c>
      <c r="L6" s="123" t="n">
        <v>10</v>
      </c>
      <c r="M6" s="123" t="n">
        <f aca="false">1.6+0.75+0.5+0.5</f>
        <v>3.35</v>
      </c>
      <c r="N6" s="125" t="n">
        <f aca="false">E6/0.15</f>
        <v>8.93333333333333</v>
      </c>
      <c r="O6" s="125" t="n">
        <f aca="false">0.617*M6*N6</f>
        <v>18.4647533333333</v>
      </c>
      <c r="P6" s="123" t="n">
        <v>10</v>
      </c>
      <c r="Q6" s="123" t="n">
        <f aca="false">1.6+0.75+0.5+0.5</f>
        <v>3.35</v>
      </c>
      <c r="R6" s="124" t="n">
        <f aca="false">E6/0.15</f>
        <v>8.93333333333333</v>
      </c>
      <c r="S6" s="125" t="n">
        <f aca="false">0.617*Q6*R6</f>
        <v>18.4647533333333</v>
      </c>
      <c r="T6" s="123" t="n">
        <v>12</v>
      </c>
      <c r="U6" s="123" t="n">
        <v>2</v>
      </c>
      <c r="V6" s="17" t="n">
        <f aca="false">0.888*U6*E6</f>
        <v>2.37984</v>
      </c>
    </row>
    <row r="7" customFormat="false" ht="14.25" hidden="false" customHeight="true" outlineLevel="0" collapsed="false">
      <c r="A7" s="121" t="s">
        <v>1090</v>
      </c>
      <c r="B7" s="17" t="s">
        <v>1084</v>
      </c>
      <c r="C7" s="123" t="n">
        <v>0.4</v>
      </c>
      <c r="D7" s="123" t="n">
        <v>0.6</v>
      </c>
      <c r="E7" s="123" t="n">
        <v>43</v>
      </c>
      <c r="F7" s="123" t="n">
        <v>0.15</v>
      </c>
      <c r="G7" s="17" t="n">
        <f aca="false">((C7+0.2)+(D7-F7)*2)*E7</f>
        <v>64.5</v>
      </c>
      <c r="H7" s="17" t="n">
        <f aca="false">C7*(D7-F7)*E7</f>
        <v>7.74</v>
      </c>
      <c r="I7" s="123" t="n">
        <v>20</v>
      </c>
      <c r="J7" s="123" t="n">
        <v>16</v>
      </c>
      <c r="K7" s="17" t="n">
        <f aca="false">'rebar weight'!H4*J7*E7</f>
        <v>1696.608</v>
      </c>
      <c r="L7" s="123" t="n">
        <v>10</v>
      </c>
      <c r="M7" s="123" t="n">
        <f aca="false">2+1.5</f>
        <v>3.5</v>
      </c>
      <c r="N7" s="125" t="n">
        <f aca="false">E7/0.15</f>
        <v>286.666666666667</v>
      </c>
      <c r="O7" s="125" t="n">
        <f aca="false">0.617*M7*N7</f>
        <v>619.056666666667</v>
      </c>
      <c r="P7" s="123" t="n">
        <v>10</v>
      </c>
      <c r="Q7" s="123" t="n">
        <f aca="false">0.6+0.6</f>
        <v>1.2</v>
      </c>
      <c r="R7" s="124" t="n">
        <f aca="false">E7/0.3</f>
        <v>143.333333333333</v>
      </c>
      <c r="S7" s="125" t="n">
        <f aca="false">0.617*Q7*R7</f>
        <v>106.124</v>
      </c>
      <c r="T7" s="123" t="n">
        <v>16</v>
      </c>
      <c r="U7" s="123" t="n">
        <v>2</v>
      </c>
      <c r="V7" s="17" t="n">
        <f aca="false">'rebar weight'!G4*U7*E7</f>
        <v>135.708</v>
      </c>
    </row>
    <row r="8" customFormat="false" ht="14.25" hidden="false" customHeight="true" outlineLevel="0" collapsed="false">
      <c r="A8" s="121" t="s">
        <v>1090</v>
      </c>
      <c r="B8" s="17" t="s">
        <v>1085</v>
      </c>
      <c r="C8" s="123" t="n">
        <v>0.4</v>
      </c>
      <c r="D8" s="123" t="n">
        <v>0.7</v>
      </c>
      <c r="E8" s="123" t="n">
        <v>113</v>
      </c>
      <c r="F8" s="123" t="n">
        <v>0.15</v>
      </c>
      <c r="G8" s="17" t="n">
        <f aca="false">((C8+0.2)+(D8-F8)*2)*E8</f>
        <v>192.1</v>
      </c>
      <c r="H8" s="17" t="n">
        <f aca="false">C8*(D8-F8)*E8</f>
        <v>24.86</v>
      </c>
      <c r="I8" s="123" t="n">
        <v>25</v>
      </c>
      <c r="J8" s="123" t="n">
        <v>16</v>
      </c>
      <c r="K8" s="17" t="n">
        <f aca="false">'rebar weight'!I4*J8*E8</f>
        <v>6966.224</v>
      </c>
      <c r="L8" s="123" t="n">
        <v>10</v>
      </c>
      <c r="M8" s="123" t="n">
        <f aca="false">2+1.5</f>
        <v>3.5</v>
      </c>
      <c r="N8" s="125" t="n">
        <f aca="false">E8/0.15</f>
        <v>753.333333333333</v>
      </c>
      <c r="O8" s="125" t="n">
        <f aca="false">0.617*M8*N8</f>
        <v>1626.82333333333</v>
      </c>
      <c r="P8" s="123" t="n">
        <v>10</v>
      </c>
      <c r="Q8" s="123" t="n">
        <f aca="false">0.6+0.6</f>
        <v>1.2</v>
      </c>
      <c r="R8" s="124" t="n">
        <f aca="false">E8/0.3</f>
        <v>376.666666666667</v>
      </c>
      <c r="S8" s="125" t="n">
        <f aca="false">0.617*Q8*R8</f>
        <v>278.884</v>
      </c>
      <c r="T8" s="123" t="n">
        <v>16</v>
      </c>
      <c r="U8" s="123" t="n">
        <v>2</v>
      </c>
      <c r="V8" s="17" t="n">
        <f aca="false">'rebar weight'!G4*U8*E8</f>
        <v>356.628</v>
      </c>
    </row>
    <row r="9" customFormat="false" ht="14.25" hidden="false" customHeight="true" outlineLevel="0" collapsed="false">
      <c r="A9" s="121" t="s">
        <v>1090</v>
      </c>
      <c r="B9" s="17" t="s">
        <v>1086</v>
      </c>
      <c r="C9" s="123" t="n">
        <v>0.2</v>
      </c>
      <c r="D9" s="123" t="n">
        <v>0.4</v>
      </c>
      <c r="E9" s="123" t="n">
        <v>0</v>
      </c>
      <c r="F9" s="123" t="n">
        <v>0.15</v>
      </c>
      <c r="G9" s="17" t="n">
        <f aca="false">((C9+0.2)+(D9-F9)*2)*E9</f>
        <v>0</v>
      </c>
      <c r="H9" s="17" t="n">
        <f aca="false">C9*(D9-F9)*E9</f>
        <v>0</v>
      </c>
      <c r="I9" s="123" t="n">
        <v>0</v>
      </c>
      <c r="J9" s="123" t="n">
        <v>0</v>
      </c>
      <c r="K9" s="17" t="n">
        <f aca="false">2.466*J9*E9</f>
        <v>0</v>
      </c>
      <c r="L9" s="123"/>
      <c r="M9" s="123"/>
      <c r="N9" s="125" t="n">
        <f aca="false">E9/0.15</f>
        <v>0</v>
      </c>
      <c r="O9" s="125" t="n">
        <f aca="false">0.617*M9*N9</f>
        <v>0</v>
      </c>
      <c r="P9" s="123"/>
      <c r="Q9" s="123"/>
      <c r="R9" s="124" t="n">
        <f aca="false">E9/0.15</f>
        <v>0</v>
      </c>
      <c r="S9" s="125" t="n">
        <f aca="false">0.617*Q9*R9</f>
        <v>0</v>
      </c>
      <c r="T9" s="123"/>
      <c r="U9" s="123"/>
      <c r="V9" s="17" t="n">
        <f aca="false">1.578*U9*E9</f>
        <v>0</v>
      </c>
    </row>
    <row r="10" customFormat="false" ht="14.25" hidden="false" customHeight="true" outlineLevel="0" collapsed="false">
      <c r="A10" s="121" t="s">
        <v>1090</v>
      </c>
      <c r="B10" s="17" t="s">
        <v>1087</v>
      </c>
      <c r="C10" s="123" t="n">
        <v>0.4</v>
      </c>
      <c r="D10" s="123" t="n">
        <v>0.7</v>
      </c>
      <c r="E10" s="123" t="n">
        <v>9.1</v>
      </c>
      <c r="F10" s="123" t="n">
        <v>0.15</v>
      </c>
      <c r="G10" s="17" t="n">
        <f aca="false">((C10+0.2)+(D10-F10)*2)*E10</f>
        <v>15.47</v>
      </c>
      <c r="H10" s="17" t="n">
        <f aca="false">C10*(D10-F10)*E10</f>
        <v>2.002</v>
      </c>
      <c r="I10" s="123" t="n">
        <v>25</v>
      </c>
      <c r="J10" s="123" t="n">
        <v>16</v>
      </c>
      <c r="K10" s="17" t="n">
        <f aca="false">'rebar weight'!I4*J10*E10</f>
        <v>560.9968</v>
      </c>
      <c r="L10" s="123" t="n">
        <v>12</v>
      </c>
      <c r="M10" s="123" t="n">
        <f aca="false">2.2+1.7</f>
        <v>3.9</v>
      </c>
      <c r="N10" s="125" t="n">
        <f aca="false">E10/0.15</f>
        <v>60.6666666666667</v>
      </c>
      <c r="O10" s="125" t="n">
        <f aca="false">'rebar weight'!E4*M10*N10</f>
        <v>210.1008</v>
      </c>
      <c r="P10" s="123" t="n">
        <v>10</v>
      </c>
      <c r="Q10" s="123" t="n">
        <f aca="false">0.55+0.55+0.55</f>
        <v>1.65</v>
      </c>
      <c r="R10" s="124" t="n">
        <f aca="false">E10/0.3</f>
        <v>30.3333333333333</v>
      </c>
      <c r="S10" s="125" t="n">
        <f aca="false">'rebar weight'!D4*Q10*R10</f>
        <v>30.88085</v>
      </c>
      <c r="T10" s="123" t="n">
        <v>16</v>
      </c>
      <c r="U10" s="123" t="n">
        <v>4</v>
      </c>
      <c r="V10" s="17" t="n">
        <f aca="false">'rebar weight'!G4*U10*E10</f>
        <v>57.4392</v>
      </c>
    </row>
    <row r="11" customFormat="false" ht="14.25" hidden="false" customHeight="true" outlineLevel="0" collapsed="false">
      <c r="G11" s="10" t="n">
        <f aca="false">SUM(G3:G10)</f>
        <v>446.526</v>
      </c>
      <c r="H11" s="10" t="n">
        <f aca="false">SUM(H3:H10)</f>
        <v>46.74115</v>
      </c>
    </row>
    <row r="14" customFormat="false" ht="14.25" hidden="false" customHeight="true" outlineLevel="0" collapsed="false">
      <c r="I14" s="10" t="n">
        <v>8</v>
      </c>
      <c r="J14" s="126" t="n">
        <f aca="false">O3+O4+O5+S3+S4+S5</f>
        <v>624.1948</v>
      </c>
      <c r="K14" s="126" t="n">
        <f aca="false">J14/$H$11</f>
        <v>13.3542884588847</v>
      </c>
    </row>
    <row r="15" customFormat="false" ht="14.25" hidden="false" customHeight="true" outlineLevel="0" collapsed="false">
      <c r="I15" s="10" t="n">
        <v>10</v>
      </c>
      <c r="J15" s="126" t="n">
        <f aca="false">O6+O7+O8+R6+R7+R8+R9+R10</f>
        <v>2823.61142</v>
      </c>
      <c r="K15" s="126" t="n">
        <f aca="false">J15/$H$11</f>
        <v>60.409541057505</v>
      </c>
    </row>
    <row r="16" customFormat="false" ht="14.25" hidden="false" customHeight="true" outlineLevel="0" collapsed="false">
      <c r="I16" s="10" t="n">
        <v>12</v>
      </c>
      <c r="J16" s="126" t="n">
        <f aca="false">O10+V4+V5+V6</f>
        <v>295.33104</v>
      </c>
      <c r="K16" s="126" t="n">
        <f aca="false">J16/$H$11</f>
        <v>6.31843760797499</v>
      </c>
    </row>
    <row r="17" customFormat="false" ht="14.25" hidden="false" customHeight="true" outlineLevel="0" collapsed="false">
      <c r="I17" s="10" t="n">
        <v>16</v>
      </c>
      <c r="J17" s="126" t="n">
        <f aca="false">K3+K4+V7+V8+V10</f>
        <v>2411.8152</v>
      </c>
      <c r="K17" s="126" t="n">
        <f aca="false">J17/$H$11</f>
        <v>51.5993979608974</v>
      </c>
    </row>
    <row r="18" customFormat="false" ht="14.25" hidden="false" customHeight="true" outlineLevel="0" collapsed="false">
      <c r="I18" s="10" t="n">
        <v>20</v>
      </c>
      <c r="J18" s="126" t="n">
        <f aca="false">K5+K6+K7</f>
        <v>1819.6614</v>
      </c>
      <c r="K18" s="126" t="n">
        <f aca="false">J18/$H$11</f>
        <v>38.9306082541829</v>
      </c>
    </row>
    <row r="19" customFormat="false" ht="14.25" hidden="false" customHeight="true" outlineLevel="0" collapsed="false">
      <c r="I19" s="10" t="n">
        <v>25</v>
      </c>
      <c r="J19" s="126" t="n">
        <f aca="false">K8+K10</f>
        <v>7527.2208</v>
      </c>
      <c r="K19" s="126" t="n">
        <f aca="false">J19/$H$11</f>
        <v>161.040556340612</v>
      </c>
    </row>
    <row r="20" customFormat="false" ht="14.25" hidden="false" customHeight="true" outlineLevel="0" collapsed="false">
      <c r="J20" s="126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3" activeCellId="0" sqref="F23"/>
    </sheetView>
  </sheetViews>
  <sheetFormatPr defaultColWidth="8.71484375" defaultRowHeight="15" zeroHeight="false" outlineLevelRow="0" outlineLevelCol="0"/>
  <cols>
    <col collapsed="false" customWidth="true" hidden="false" outlineLevel="0" max="1" min="1" style="118" width="9.14"/>
    <col collapsed="false" customWidth="true" hidden="false" outlineLevel="0" max="2" min="2" style="10" width="12.57"/>
    <col collapsed="false" customWidth="true" hidden="false" outlineLevel="0" max="3" min="3" style="10" width="15.29"/>
    <col collapsed="false" customWidth="true" hidden="false" outlineLevel="0" max="4" min="4" style="10" width="16"/>
    <col collapsed="false" customWidth="true" hidden="false" outlineLevel="0" max="5" min="5" style="10" width="17.29"/>
    <col collapsed="false" customWidth="true" hidden="false" outlineLevel="0" max="6" min="6" style="10" width="19.42"/>
    <col collapsed="false" customWidth="true" hidden="false" outlineLevel="0" max="7" min="7" style="10" width="15.71"/>
    <col collapsed="false" customWidth="true" hidden="false" outlineLevel="0" max="8" min="8" style="10" width="14.57"/>
    <col collapsed="false" customWidth="true" hidden="false" outlineLevel="0" max="9" min="9" style="10" width="14.42"/>
    <col collapsed="false" customWidth="true" hidden="false" outlineLevel="0" max="10" min="10" style="10" width="19.86"/>
    <col collapsed="false" customWidth="true" hidden="false" outlineLevel="0" max="11" min="11" style="10" width="12"/>
    <col collapsed="false" customWidth="true" hidden="false" outlineLevel="0" max="12" min="12" style="10" width="7.71"/>
    <col collapsed="false" customWidth="true" hidden="false" outlineLevel="0" max="13" min="13" style="10" width="10.71"/>
    <col collapsed="false" customWidth="true" hidden="false" outlineLevel="0" max="14" min="14" style="10" width="20.71"/>
    <col collapsed="false" customWidth="true" hidden="false" outlineLevel="0" max="15" min="15" style="10" width="13"/>
    <col collapsed="false" customWidth="true" hidden="false" outlineLevel="0" max="16" min="16" style="10" width="7.71"/>
    <col collapsed="false" customWidth="true" hidden="false" outlineLevel="0" max="17" min="17" style="10" width="10.71"/>
    <col collapsed="false" customWidth="true" hidden="false" outlineLevel="0" max="18" min="18" style="10" width="20.71"/>
    <col collapsed="false" customWidth="true" hidden="false" outlineLevel="0" max="19" min="19" style="10" width="12"/>
    <col collapsed="false" customWidth="true" hidden="false" outlineLevel="0" max="20" min="20" style="10" width="13.57"/>
    <col collapsed="false" customWidth="true" hidden="false" outlineLevel="0" max="21" min="21" style="10" width="19.14"/>
    <col collapsed="false" customWidth="true" hidden="false" outlineLevel="0" max="22" min="22" style="10" width="12"/>
  </cols>
  <sheetData>
    <row r="1" customFormat="false" ht="14.25" hidden="false" customHeight="true" outlineLevel="0" collapsed="false">
      <c r="A1" s="120" t="s">
        <v>1088</v>
      </c>
      <c r="B1" s="120"/>
      <c r="C1" s="120"/>
      <c r="D1" s="120"/>
      <c r="E1" s="120"/>
      <c r="F1" s="120"/>
    </row>
    <row r="2" customFormat="false" ht="14.25" hidden="false" customHeight="true" outlineLevel="0" collapsed="false">
      <c r="A2" s="121" t="s">
        <v>1060</v>
      </c>
      <c r="B2" s="17" t="s">
        <v>1061</v>
      </c>
      <c r="C2" s="17" t="s">
        <v>1062</v>
      </c>
      <c r="D2" s="17" t="s">
        <v>1063</v>
      </c>
      <c r="E2" s="17" t="s">
        <v>1064</v>
      </c>
      <c r="F2" s="17" t="s">
        <v>1065</v>
      </c>
      <c r="G2" s="17" t="s">
        <v>1066</v>
      </c>
      <c r="H2" s="17" t="s">
        <v>1067</v>
      </c>
      <c r="I2" s="17" t="s">
        <v>1071</v>
      </c>
      <c r="J2" s="17" t="s">
        <v>1072</v>
      </c>
      <c r="K2" s="122" t="s">
        <v>1073</v>
      </c>
      <c r="L2" s="122" t="s">
        <v>1074</v>
      </c>
      <c r="M2" s="122" t="s">
        <v>1075</v>
      </c>
      <c r="N2" s="17" t="s">
        <v>1076</v>
      </c>
      <c r="O2" s="17" t="s">
        <v>1073</v>
      </c>
      <c r="P2" s="122" t="s">
        <v>1089</v>
      </c>
      <c r="Q2" s="122" t="s">
        <v>1075</v>
      </c>
      <c r="R2" s="17" t="s">
        <v>1076</v>
      </c>
      <c r="S2" s="17" t="s">
        <v>1073</v>
      </c>
      <c r="T2" s="17" t="s">
        <v>1077</v>
      </c>
      <c r="U2" s="17" t="s">
        <v>1078</v>
      </c>
      <c r="V2" s="17" t="s">
        <v>1073</v>
      </c>
    </row>
    <row r="3" customFormat="false" ht="14.25" hidden="false" customHeight="true" outlineLevel="0" collapsed="false">
      <c r="A3" s="121" t="s">
        <v>1090</v>
      </c>
      <c r="B3" s="17" t="s">
        <v>1080</v>
      </c>
      <c r="C3" s="123" t="n">
        <v>0.25</v>
      </c>
      <c r="D3" s="123" t="n">
        <v>0.4</v>
      </c>
      <c r="E3" s="123" t="n">
        <v>125</v>
      </c>
      <c r="F3" s="123" t="n">
        <v>0.15</v>
      </c>
      <c r="G3" s="17" t="n">
        <f aca="false">((C3+0.2)+(D3-F3)*2)*E3</f>
        <v>118.75</v>
      </c>
      <c r="H3" s="17" t="n">
        <f aca="false">C3*(D3-F3)*E3</f>
        <v>7.8125</v>
      </c>
      <c r="I3" s="123" t="n">
        <v>16</v>
      </c>
      <c r="J3" s="123" t="n">
        <v>6</v>
      </c>
      <c r="K3" s="17" t="n">
        <f aca="false">J3*E3*'rebar weight'!G4</f>
        <v>1183.5</v>
      </c>
      <c r="L3" s="123" t="n">
        <v>8</v>
      </c>
      <c r="M3" s="123" t="n">
        <v>1.2</v>
      </c>
      <c r="N3" s="125" t="n">
        <f aca="false">E3/0.15</f>
        <v>833.333333333333</v>
      </c>
      <c r="O3" s="125" t="n">
        <f aca="false">M3*N3*'rebar weight'!C4</f>
        <v>395</v>
      </c>
      <c r="P3" s="123" t="n">
        <v>0</v>
      </c>
      <c r="Q3" s="123" t="n">
        <v>0</v>
      </c>
      <c r="R3" s="124" t="n">
        <f aca="false">E3/0.15</f>
        <v>833.333333333333</v>
      </c>
      <c r="S3" s="125" t="n">
        <f aca="false">0.395*Q3*R3</f>
        <v>0</v>
      </c>
      <c r="T3" s="123" t="n">
        <v>0</v>
      </c>
      <c r="U3" s="123" t="n">
        <v>0</v>
      </c>
      <c r="V3" s="17" t="n">
        <f aca="false">'rebar weight'!E3*U3*E3</f>
        <v>0</v>
      </c>
    </row>
    <row r="4" customFormat="false" ht="14.25" hidden="false" customHeight="true" outlineLevel="0" collapsed="false">
      <c r="A4" s="121" t="s">
        <v>1090</v>
      </c>
      <c r="B4" s="17" t="s">
        <v>1081</v>
      </c>
      <c r="C4" s="123" t="n">
        <v>0.25</v>
      </c>
      <c r="D4" s="123" t="n">
        <v>0.5</v>
      </c>
      <c r="E4" s="123" t="n">
        <v>43</v>
      </c>
      <c r="F4" s="123" t="n">
        <v>0.15</v>
      </c>
      <c r="G4" s="17" t="n">
        <f aca="false">((C4+0.2)+(D4-F4)*2)*E4</f>
        <v>49.45</v>
      </c>
      <c r="H4" s="17" t="n">
        <f aca="false">C4*(D4-F4)*E4</f>
        <v>3.7625</v>
      </c>
      <c r="I4" s="123" t="n">
        <v>16</v>
      </c>
      <c r="J4" s="123" t="n">
        <v>10</v>
      </c>
      <c r="K4" s="17" t="n">
        <f aca="false">'rebar weight'!G4*J4*E4</f>
        <v>678.54</v>
      </c>
      <c r="L4" s="123" t="n">
        <v>8</v>
      </c>
      <c r="M4" s="123" t="n">
        <f aca="false">1.4</f>
        <v>1.4</v>
      </c>
      <c r="N4" s="125" t="n">
        <f aca="false">E4/0.15</f>
        <v>286.666666666667</v>
      </c>
      <c r="O4" s="125" t="n">
        <f aca="false">0.395*M4*N4</f>
        <v>158.526666666667</v>
      </c>
      <c r="P4" s="123" t="n">
        <v>8</v>
      </c>
      <c r="Q4" s="123" t="n">
        <f aca="false">0.4</f>
        <v>0.4</v>
      </c>
      <c r="R4" s="124" t="n">
        <f aca="false">E4/0.15</f>
        <v>286.666666666667</v>
      </c>
      <c r="S4" s="125" t="n">
        <f aca="false">0.395*Q4*R4</f>
        <v>45.2933333333333</v>
      </c>
      <c r="T4" s="123" t="n">
        <v>12</v>
      </c>
      <c r="U4" s="123" t="n">
        <v>2</v>
      </c>
      <c r="V4" s="17" t="n">
        <f aca="false">'rebar weight'!E4*U4*E4</f>
        <v>76.368</v>
      </c>
    </row>
    <row r="5" customFormat="false" ht="14.25" hidden="false" customHeight="true" outlineLevel="0" collapsed="false">
      <c r="A5" s="121" t="s">
        <v>1090</v>
      </c>
      <c r="B5" s="17" t="s">
        <v>1082</v>
      </c>
      <c r="C5" s="123" t="n">
        <v>0.3</v>
      </c>
      <c r="D5" s="123" t="n">
        <v>0.5</v>
      </c>
      <c r="E5" s="123" t="n">
        <v>3.65</v>
      </c>
      <c r="F5" s="123" t="n">
        <v>0.15</v>
      </c>
      <c r="G5" s="17" t="n">
        <f aca="false">((C5+0.2)+(D5-F5)*2)*E5</f>
        <v>4.38</v>
      </c>
      <c r="H5" s="17" t="n">
        <f aca="false">C5*(D5-F5)*E5</f>
        <v>0.38325</v>
      </c>
      <c r="I5" s="123" t="n">
        <v>20</v>
      </c>
      <c r="J5" s="123" t="n">
        <v>10</v>
      </c>
      <c r="K5" s="17" t="n">
        <f aca="false">'rebar weight'!H4*J5*E5</f>
        <v>90.009</v>
      </c>
      <c r="L5" s="123" t="n">
        <v>8</v>
      </c>
      <c r="M5" s="123" t="n">
        <f aca="false">1.5</f>
        <v>1.5</v>
      </c>
      <c r="N5" s="125" t="n">
        <f aca="false">E5/0.15</f>
        <v>24.3333333333333</v>
      </c>
      <c r="O5" s="125" t="n">
        <f aca="false">'rebar weight'!C4*M5*N5</f>
        <v>14.4175</v>
      </c>
      <c r="P5" s="123" t="n">
        <v>8</v>
      </c>
      <c r="Q5" s="123" t="n">
        <f aca="false">0.64+0.5</f>
        <v>1.14</v>
      </c>
      <c r="R5" s="124" t="n">
        <f aca="false">E5/0.15</f>
        <v>24.3333333333333</v>
      </c>
      <c r="S5" s="125" t="n">
        <f aca="false">0.395*Q5*R5</f>
        <v>10.9573</v>
      </c>
      <c r="T5" s="123" t="n">
        <v>12</v>
      </c>
      <c r="U5" s="123" t="n">
        <v>2</v>
      </c>
      <c r="V5" s="17" t="n">
        <f aca="false">0.888*U5*E5</f>
        <v>6.4824</v>
      </c>
    </row>
    <row r="6" customFormat="false" ht="14.25" hidden="false" customHeight="true" outlineLevel="0" collapsed="false">
      <c r="A6" s="121" t="s">
        <v>1090</v>
      </c>
      <c r="B6" s="17" t="s">
        <v>1083</v>
      </c>
      <c r="C6" s="123" t="n">
        <v>0.3</v>
      </c>
      <c r="D6" s="123" t="n">
        <v>0.6</v>
      </c>
      <c r="E6" s="123" t="n">
        <v>1.34</v>
      </c>
      <c r="F6" s="123" t="n">
        <v>0.15</v>
      </c>
      <c r="G6" s="17" t="n">
        <f aca="false">((C6+0.2)+(D6-F6)*2)*E6</f>
        <v>1.876</v>
      </c>
      <c r="H6" s="17" t="n">
        <f aca="false">C6*(D6-F6)*E6</f>
        <v>0.1809</v>
      </c>
      <c r="I6" s="123" t="n">
        <v>20</v>
      </c>
      <c r="J6" s="123" t="n">
        <v>10</v>
      </c>
      <c r="K6" s="17" t="n">
        <f aca="false">2.466*J6*E6</f>
        <v>33.0444</v>
      </c>
      <c r="L6" s="123" t="n">
        <v>10</v>
      </c>
      <c r="M6" s="123" t="n">
        <f aca="false">1.6+0.75+0.5+0.5</f>
        <v>3.35</v>
      </c>
      <c r="N6" s="125" t="n">
        <f aca="false">E6/0.15</f>
        <v>8.93333333333333</v>
      </c>
      <c r="O6" s="125" t="n">
        <f aca="false">0.617*M6*N6</f>
        <v>18.4647533333333</v>
      </c>
      <c r="P6" s="123" t="n">
        <v>10</v>
      </c>
      <c r="Q6" s="123" t="n">
        <f aca="false">1.6+0.75+0.5+0.5</f>
        <v>3.35</v>
      </c>
      <c r="R6" s="124" t="n">
        <f aca="false">E6/0.15</f>
        <v>8.93333333333333</v>
      </c>
      <c r="S6" s="125" t="n">
        <f aca="false">0.617*Q6*R6</f>
        <v>18.4647533333333</v>
      </c>
      <c r="T6" s="123" t="n">
        <v>12</v>
      </c>
      <c r="U6" s="123" t="n">
        <v>2</v>
      </c>
      <c r="V6" s="17" t="n">
        <f aca="false">0.888*U6*E6</f>
        <v>2.37984</v>
      </c>
    </row>
    <row r="7" customFormat="false" ht="14.25" hidden="false" customHeight="true" outlineLevel="0" collapsed="false">
      <c r="A7" s="121" t="s">
        <v>1090</v>
      </c>
      <c r="B7" s="17" t="s">
        <v>1084</v>
      </c>
      <c r="C7" s="123" t="n">
        <v>0.4</v>
      </c>
      <c r="D7" s="123" t="n">
        <v>0.6</v>
      </c>
      <c r="E7" s="123" t="n">
        <v>43</v>
      </c>
      <c r="F7" s="123" t="n">
        <v>0.15</v>
      </c>
      <c r="G7" s="17" t="n">
        <f aca="false">((C7+0.2)+(D7-F7)*2)*E7</f>
        <v>64.5</v>
      </c>
      <c r="H7" s="17" t="n">
        <f aca="false">C7*(D7-F7)*E7</f>
        <v>7.74</v>
      </c>
      <c r="I7" s="123" t="n">
        <v>20</v>
      </c>
      <c r="J7" s="123" t="n">
        <v>16</v>
      </c>
      <c r="K7" s="17" t="n">
        <f aca="false">'rebar weight'!H4*J7*E7</f>
        <v>1696.608</v>
      </c>
      <c r="L7" s="123" t="n">
        <v>10</v>
      </c>
      <c r="M7" s="123" t="n">
        <f aca="false">2+1.5</f>
        <v>3.5</v>
      </c>
      <c r="N7" s="125" t="n">
        <f aca="false">E7/0.15</f>
        <v>286.666666666667</v>
      </c>
      <c r="O7" s="125" t="n">
        <f aca="false">0.617*M7*N7</f>
        <v>619.056666666667</v>
      </c>
      <c r="P7" s="123" t="n">
        <v>10</v>
      </c>
      <c r="Q7" s="123" t="n">
        <f aca="false">0.6+0.6</f>
        <v>1.2</v>
      </c>
      <c r="R7" s="124" t="n">
        <f aca="false">E7/0.3</f>
        <v>143.333333333333</v>
      </c>
      <c r="S7" s="125" t="n">
        <f aca="false">0.617*Q7*R7</f>
        <v>106.124</v>
      </c>
      <c r="T7" s="123" t="n">
        <v>16</v>
      </c>
      <c r="U7" s="123" t="n">
        <v>2</v>
      </c>
      <c r="V7" s="17" t="n">
        <f aca="false">'rebar weight'!G4*U7*E7</f>
        <v>135.708</v>
      </c>
    </row>
    <row r="8" customFormat="false" ht="14.25" hidden="false" customHeight="true" outlineLevel="0" collapsed="false">
      <c r="A8" s="121" t="s">
        <v>1090</v>
      </c>
      <c r="B8" s="17" t="s">
        <v>1085</v>
      </c>
      <c r="C8" s="123" t="n">
        <v>0.4</v>
      </c>
      <c r="D8" s="123" t="n">
        <v>0.7</v>
      </c>
      <c r="E8" s="123" t="n">
        <v>113</v>
      </c>
      <c r="F8" s="123" t="n">
        <v>0.15</v>
      </c>
      <c r="G8" s="17" t="n">
        <f aca="false">((C8+0.2)+(D8-F8)*2)*E8</f>
        <v>192.1</v>
      </c>
      <c r="H8" s="17" t="n">
        <f aca="false">C8*(D8-F8)*E8</f>
        <v>24.86</v>
      </c>
      <c r="I8" s="123" t="n">
        <v>25</v>
      </c>
      <c r="J8" s="123" t="n">
        <v>16</v>
      </c>
      <c r="K8" s="17" t="n">
        <f aca="false">'rebar weight'!I4*J8*E8</f>
        <v>6966.224</v>
      </c>
      <c r="L8" s="123" t="n">
        <v>10</v>
      </c>
      <c r="M8" s="123" t="n">
        <f aca="false">2+1.5</f>
        <v>3.5</v>
      </c>
      <c r="N8" s="125" t="n">
        <f aca="false">E8/0.15</f>
        <v>753.333333333333</v>
      </c>
      <c r="O8" s="125" t="n">
        <f aca="false">0.617*M8*N8</f>
        <v>1626.82333333333</v>
      </c>
      <c r="P8" s="123" t="n">
        <v>10</v>
      </c>
      <c r="Q8" s="123" t="n">
        <f aca="false">0.6+0.6</f>
        <v>1.2</v>
      </c>
      <c r="R8" s="124" t="n">
        <f aca="false">E8/0.3</f>
        <v>376.666666666667</v>
      </c>
      <c r="S8" s="125" t="n">
        <f aca="false">0.617*Q8*R8</f>
        <v>278.884</v>
      </c>
      <c r="T8" s="123" t="n">
        <v>16</v>
      </c>
      <c r="U8" s="123" t="n">
        <v>2</v>
      </c>
      <c r="V8" s="17" t="n">
        <f aca="false">'rebar weight'!G4*U8*E8</f>
        <v>356.628</v>
      </c>
    </row>
    <row r="9" customFormat="false" ht="14.25" hidden="false" customHeight="true" outlineLevel="0" collapsed="false">
      <c r="A9" s="121" t="s">
        <v>1090</v>
      </c>
      <c r="B9" s="17" t="s">
        <v>1086</v>
      </c>
      <c r="C9" s="123" t="n">
        <v>0.2</v>
      </c>
      <c r="D9" s="123" t="n">
        <v>0.4</v>
      </c>
      <c r="E9" s="123" t="n">
        <v>0</v>
      </c>
      <c r="F9" s="123" t="n">
        <v>0.15</v>
      </c>
      <c r="G9" s="17" t="n">
        <f aca="false">((C9+0.2)+(D9-F9)*2)*E9</f>
        <v>0</v>
      </c>
      <c r="H9" s="17" t="n">
        <f aca="false">C9*(D9-F9)*E9</f>
        <v>0</v>
      </c>
      <c r="I9" s="123" t="n">
        <v>0</v>
      </c>
      <c r="J9" s="123" t="n">
        <v>0</v>
      </c>
      <c r="K9" s="17" t="n">
        <f aca="false">2.466*J9*E9</f>
        <v>0</v>
      </c>
      <c r="L9" s="123"/>
      <c r="M9" s="123"/>
      <c r="N9" s="125" t="n">
        <f aca="false">E9/0.15</f>
        <v>0</v>
      </c>
      <c r="O9" s="125" t="n">
        <f aca="false">0.617*M9*N9</f>
        <v>0</v>
      </c>
      <c r="P9" s="123"/>
      <c r="Q9" s="123"/>
      <c r="R9" s="124" t="n">
        <f aca="false">E9/0.15</f>
        <v>0</v>
      </c>
      <c r="S9" s="125" t="n">
        <f aca="false">0.617*Q9*R9</f>
        <v>0</v>
      </c>
      <c r="T9" s="123"/>
      <c r="U9" s="123"/>
      <c r="V9" s="17" t="n">
        <f aca="false">1.578*U9*E9</f>
        <v>0</v>
      </c>
    </row>
    <row r="10" customFormat="false" ht="14.25" hidden="false" customHeight="true" outlineLevel="0" collapsed="false">
      <c r="A10" s="121" t="s">
        <v>1090</v>
      </c>
      <c r="B10" s="17" t="s">
        <v>1087</v>
      </c>
      <c r="C10" s="123" t="n">
        <v>0.4</v>
      </c>
      <c r="D10" s="123" t="n">
        <v>0.7</v>
      </c>
      <c r="E10" s="123" t="n">
        <v>9.1</v>
      </c>
      <c r="F10" s="123" t="n">
        <v>0.15</v>
      </c>
      <c r="G10" s="17" t="n">
        <f aca="false">((C10+0.2)+(D10-F10)*2)*E10</f>
        <v>15.47</v>
      </c>
      <c r="H10" s="17" t="n">
        <f aca="false">C10*(D10-F10)*E10</f>
        <v>2.002</v>
      </c>
      <c r="I10" s="123" t="n">
        <v>25</v>
      </c>
      <c r="J10" s="123" t="n">
        <v>16</v>
      </c>
      <c r="K10" s="17" t="n">
        <f aca="false">'rebar weight'!I4*J10*E10</f>
        <v>560.9968</v>
      </c>
      <c r="L10" s="123" t="n">
        <v>12</v>
      </c>
      <c r="M10" s="123" t="n">
        <f aca="false">2.2+1.7</f>
        <v>3.9</v>
      </c>
      <c r="N10" s="125" t="n">
        <f aca="false">E10/0.15</f>
        <v>60.6666666666667</v>
      </c>
      <c r="O10" s="125" t="n">
        <f aca="false">'rebar weight'!E4*M10*N10</f>
        <v>210.1008</v>
      </c>
      <c r="P10" s="123" t="n">
        <v>10</v>
      </c>
      <c r="Q10" s="123" t="n">
        <f aca="false">0.55+0.55+0.55</f>
        <v>1.65</v>
      </c>
      <c r="R10" s="124" t="n">
        <f aca="false">E10/0.3</f>
        <v>30.3333333333333</v>
      </c>
      <c r="S10" s="125" t="n">
        <f aca="false">'rebar weight'!D4*Q10*R10</f>
        <v>30.88085</v>
      </c>
      <c r="T10" s="123" t="n">
        <v>16</v>
      </c>
      <c r="U10" s="123" t="n">
        <v>4</v>
      </c>
      <c r="V10" s="17" t="n">
        <f aca="false">'rebar weight'!G4*U10*E10</f>
        <v>57.4392</v>
      </c>
    </row>
    <row r="11" customFormat="false" ht="14.25" hidden="false" customHeight="true" outlineLevel="0" collapsed="false">
      <c r="G11" s="10" t="n">
        <f aca="false">SUM(G3:G10)</f>
        <v>446.526</v>
      </c>
      <c r="H11" s="10" t="n">
        <f aca="false">SUM(H3:H10)</f>
        <v>46.74115</v>
      </c>
    </row>
    <row r="14" customFormat="false" ht="14.25" hidden="false" customHeight="true" outlineLevel="0" collapsed="false">
      <c r="I14" s="10" t="n">
        <v>8</v>
      </c>
      <c r="J14" s="126" t="n">
        <f aca="false">O3+O4+O5+S3+S4+S5</f>
        <v>624.1948</v>
      </c>
      <c r="K14" s="126" t="n">
        <f aca="false">J14/$H$11</f>
        <v>13.3542884588847</v>
      </c>
    </row>
    <row r="15" customFormat="false" ht="14.25" hidden="false" customHeight="true" outlineLevel="0" collapsed="false">
      <c r="I15" s="10" t="n">
        <v>10</v>
      </c>
      <c r="J15" s="126" t="n">
        <f aca="false">O6+O7+O8+R6+R7+R8+R9+R10</f>
        <v>2823.61142</v>
      </c>
      <c r="K15" s="126" t="n">
        <f aca="false">J15/$H$11</f>
        <v>60.409541057505</v>
      </c>
    </row>
    <row r="16" customFormat="false" ht="14.25" hidden="false" customHeight="true" outlineLevel="0" collapsed="false">
      <c r="I16" s="10" t="n">
        <v>12</v>
      </c>
      <c r="J16" s="126" t="n">
        <f aca="false">O10+V4+V5+V6</f>
        <v>295.33104</v>
      </c>
      <c r="K16" s="126" t="n">
        <f aca="false">J16/$H$11</f>
        <v>6.31843760797499</v>
      </c>
    </row>
    <row r="17" customFormat="false" ht="14.25" hidden="false" customHeight="true" outlineLevel="0" collapsed="false">
      <c r="I17" s="10" t="n">
        <v>16</v>
      </c>
      <c r="J17" s="126" t="n">
        <f aca="false">K3+K4+V7+V8+V10</f>
        <v>2411.8152</v>
      </c>
      <c r="K17" s="126" t="n">
        <f aca="false">J17/$H$11</f>
        <v>51.5993979608974</v>
      </c>
    </row>
    <row r="18" customFormat="false" ht="14.25" hidden="false" customHeight="true" outlineLevel="0" collapsed="false">
      <c r="I18" s="10" t="n">
        <v>20</v>
      </c>
      <c r="J18" s="126" t="n">
        <f aca="false">K5+K6+K7</f>
        <v>1819.6614</v>
      </c>
      <c r="K18" s="126" t="n">
        <f aca="false">J18/$H$11</f>
        <v>38.9306082541829</v>
      </c>
    </row>
    <row r="19" customFormat="false" ht="14.25" hidden="false" customHeight="true" outlineLevel="0" collapsed="false">
      <c r="I19" s="10" t="n">
        <v>25</v>
      </c>
      <c r="J19" s="126" t="n">
        <f aca="false">K8+K10</f>
        <v>7527.2208</v>
      </c>
      <c r="K19" s="126" t="n">
        <f aca="false">J19/$H$11</f>
        <v>161.040556340612</v>
      </c>
    </row>
    <row r="20" customFormat="false" ht="14.25" hidden="false" customHeight="true" outlineLevel="0" collapsed="false">
      <c r="J20" s="126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0" activeCellId="0" sqref="D30"/>
    </sheetView>
  </sheetViews>
  <sheetFormatPr defaultColWidth="8.71484375" defaultRowHeight="15" zeroHeight="false" outlineLevelRow="0" outlineLevelCol="0"/>
  <cols>
    <col collapsed="false" customWidth="true" hidden="false" outlineLevel="0" max="1" min="1" style="118" width="9.14"/>
    <col collapsed="false" customWidth="true" hidden="false" outlineLevel="0" max="2" min="2" style="10" width="12.57"/>
    <col collapsed="false" customWidth="true" hidden="false" outlineLevel="0" max="3" min="3" style="10" width="15.29"/>
    <col collapsed="false" customWidth="true" hidden="false" outlineLevel="0" max="4" min="4" style="10" width="16"/>
    <col collapsed="false" customWidth="true" hidden="false" outlineLevel="0" max="5" min="5" style="10" width="17.29"/>
    <col collapsed="false" customWidth="true" hidden="false" outlineLevel="0" max="6" min="6" style="10" width="19.42"/>
    <col collapsed="false" customWidth="true" hidden="false" outlineLevel="0" max="7" min="7" style="10" width="15.71"/>
    <col collapsed="false" customWidth="true" hidden="false" outlineLevel="0" max="8" min="8" style="10" width="14.57"/>
    <col collapsed="false" customWidth="true" hidden="false" outlineLevel="0" max="9" min="9" style="10" width="14.42"/>
    <col collapsed="false" customWidth="true" hidden="false" outlineLevel="0" max="10" min="10" style="10" width="19.86"/>
    <col collapsed="false" customWidth="true" hidden="false" outlineLevel="0" max="11" min="11" style="10" width="12"/>
    <col collapsed="false" customWidth="true" hidden="false" outlineLevel="0" max="12" min="12" style="10" width="7.71"/>
    <col collapsed="false" customWidth="true" hidden="false" outlineLevel="0" max="13" min="13" style="10" width="10.71"/>
    <col collapsed="false" customWidth="true" hidden="false" outlineLevel="0" max="14" min="14" style="10" width="20.71"/>
    <col collapsed="false" customWidth="true" hidden="false" outlineLevel="0" max="15" min="15" style="10" width="13"/>
    <col collapsed="false" customWidth="true" hidden="false" outlineLevel="0" max="16" min="16" style="10" width="7.71"/>
    <col collapsed="false" customWidth="true" hidden="false" outlineLevel="0" max="17" min="17" style="10" width="10.71"/>
    <col collapsed="false" customWidth="true" hidden="false" outlineLevel="0" max="18" min="18" style="10" width="20.71"/>
    <col collapsed="false" customWidth="true" hidden="false" outlineLevel="0" max="19" min="19" style="10" width="12"/>
    <col collapsed="false" customWidth="true" hidden="false" outlineLevel="0" max="20" min="20" style="10" width="13.57"/>
    <col collapsed="false" customWidth="true" hidden="false" outlineLevel="0" max="21" min="21" style="10" width="19.14"/>
    <col collapsed="false" customWidth="true" hidden="false" outlineLevel="0" max="22" min="22" style="10" width="12"/>
  </cols>
  <sheetData>
    <row r="1" customFormat="false" ht="14.25" hidden="false" customHeight="true" outlineLevel="0" collapsed="false">
      <c r="A1" s="120" t="s">
        <v>1088</v>
      </c>
      <c r="B1" s="120"/>
      <c r="C1" s="120"/>
      <c r="D1" s="120"/>
      <c r="E1" s="120"/>
      <c r="F1" s="120"/>
    </row>
    <row r="2" customFormat="false" ht="14.25" hidden="false" customHeight="true" outlineLevel="0" collapsed="false">
      <c r="A2" s="121" t="s">
        <v>1060</v>
      </c>
      <c r="B2" s="17" t="s">
        <v>1061</v>
      </c>
      <c r="C2" s="17" t="s">
        <v>1062</v>
      </c>
      <c r="D2" s="17" t="s">
        <v>1063</v>
      </c>
      <c r="E2" s="17" t="s">
        <v>1064</v>
      </c>
      <c r="F2" s="17" t="s">
        <v>1065</v>
      </c>
      <c r="G2" s="17" t="s">
        <v>1066</v>
      </c>
      <c r="H2" s="17" t="s">
        <v>1067</v>
      </c>
      <c r="I2" s="17" t="s">
        <v>1071</v>
      </c>
      <c r="J2" s="17" t="s">
        <v>1072</v>
      </c>
      <c r="K2" s="122" t="s">
        <v>1073</v>
      </c>
      <c r="L2" s="122" t="s">
        <v>1074</v>
      </c>
      <c r="M2" s="122" t="s">
        <v>1075</v>
      </c>
      <c r="N2" s="17" t="s">
        <v>1076</v>
      </c>
      <c r="O2" s="17" t="s">
        <v>1073</v>
      </c>
      <c r="P2" s="122" t="s">
        <v>1089</v>
      </c>
      <c r="Q2" s="122" t="s">
        <v>1075</v>
      </c>
      <c r="R2" s="17" t="s">
        <v>1076</v>
      </c>
      <c r="S2" s="17" t="s">
        <v>1073</v>
      </c>
      <c r="T2" s="17" t="s">
        <v>1077</v>
      </c>
      <c r="U2" s="17" t="s">
        <v>1078</v>
      </c>
      <c r="V2" s="17" t="s">
        <v>1073</v>
      </c>
    </row>
    <row r="3" customFormat="false" ht="14.25" hidden="false" customHeight="true" outlineLevel="0" collapsed="false">
      <c r="A3" s="121" t="s">
        <v>1090</v>
      </c>
      <c r="B3" s="17" t="s">
        <v>1080</v>
      </c>
      <c r="C3" s="123" t="n">
        <v>0.25</v>
      </c>
      <c r="D3" s="123" t="n">
        <v>0.4</v>
      </c>
      <c r="E3" s="123" t="n">
        <v>125</v>
      </c>
      <c r="F3" s="123" t="n">
        <v>0.15</v>
      </c>
      <c r="G3" s="17" t="n">
        <f aca="false">((C3+0.2)+(D3-F3)*2)*E3</f>
        <v>118.75</v>
      </c>
      <c r="H3" s="17" t="n">
        <f aca="false">C3*(D3-F3)*E3</f>
        <v>7.8125</v>
      </c>
      <c r="I3" s="123" t="n">
        <v>16</v>
      </c>
      <c r="J3" s="123" t="n">
        <v>6</v>
      </c>
      <c r="K3" s="17" t="n">
        <f aca="false">J3*E3*'rebar weight'!G4</f>
        <v>1183.5</v>
      </c>
      <c r="L3" s="123" t="n">
        <v>8</v>
      </c>
      <c r="M3" s="123" t="n">
        <v>1.2</v>
      </c>
      <c r="N3" s="125" t="n">
        <f aca="false">E3/0.15</f>
        <v>833.333333333333</v>
      </c>
      <c r="O3" s="125" t="n">
        <f aca="false">M3*N3*'rebar weight'!C4</f>
        <v>395</v>
      </c>
      <c r="P3" s="123" t="n">
        <v>0</v>
      </c>
      <c r="Q3" s="123" t="n">
        <v>0</v>
      </c>
      <c r="R3" s="124" t="n">
        <f aca="false">E3/0.15</f>
        <v>833.333333333333</v>
      </c>
      <c r="S3" s="125" t="n">
        <f aca="false">0.395*Q3*R3</f>
        <v>0</v>
      </c>
      <c r="T3" s="123" t="n">
        <v>0</v>
      </c>
      <c r="U3" s="123" t="n">
        <v>0</v>
      </c>
      <c r="V3" s="17" t="n">
        <f aca="false">'rebar weight'!E3*U3*E3</f>
        <v>0</v>
      </c>
    </row>
    <row r="4" customFormat="false" ht="14.25" hidden="false" customHeight="true" outlineLevel="0" collapsed="false">
      <c r="A4" s="121" t="s">
        <v>1090</v>
      </c>
      <c r="B4" s="17" t="s">
        <v>1081</v>
      </c>
      <c r="C4" s="123" t="n">
        <v>0.25</v>
      </c>
      <c r="D4" s="123" t="n">
        <v>0.5</v>
      </c>
      <c r="E4" s="123" t="n">
        <v>43</v>
      </c>
      <c r="F4" s="123" t="n">
        <v>0.15</v>
      </c>
      <c r="G4" s="17" t="n">
        <f aca="false">((C4+0.2)+(D4-F4)*2)*E4</f>
        <v>49.45</v>
      </c>
      <c r="H4" s="17" t="n">
        <f aca="false">C4*(D4-F4)*E4</f>
        <v>3.7625</v>
      </c>
      <c r="I4" s="123" t="n">
        <v>16</v>
      </c>
      <c r="J4" s="123" t="n">
        <v>10</v>
      </c>
      <c r="K4" s="17" t="n">
        <f aca="false">'rebar weight'!G4*J4*E4</f>
        <v>678.54</v>
      </c>
      <c r="L4" s="123" t="n">
        <v>8</v>
      </c>
      <c r="M4" s="123" t="n">
        <f aca="false">1.4</f>
        <v>1.4</v>
      </c>
      <c r="N4" s="125" t="n">
        <f aca="false">E4/0.15</f>
        <v>286.666666666667</v>
      </c>
      <c r="O4" s="125" t="n">
        <f aca="false">0.395*M4*N4</f>
        <v>158.526666666667</v>
      </c>
      <c r="P4" s="123" t="n">
        <v>8</v>
      </c>
      <c r="Q4" s="123" t="n">
        <f aca="false">0.4</f>
        <v>0.4</v>
      </c>
      <c r="R4" s="124" t="n">
        <f aca="false">E4/0.15</f>
        <v>286.666666666667</v>
      </c>
      <c r="S4" s="125" t="n">
        <f aca="false">0.395*Q4*R4</f>
        <v>45.2933333333333</v>
      </c>
      <c r="T4" s="123" t="n">
        <v>12</v>
      </c>
      <c r="U4" s="123" t="n">
        <v>2</v>
      </c>
      <c r="V4" s="17" t="n">
        <f aca="false">'rebar weight'!E4*U4*E4</f>
        <v>76.368</v>
      </c>
    </row>
    <row r="5" customFormat="false" ht="14.25" hidden="false" customHeight="true" outlineLevel="0" collapsed="false">
      <c r="A5" s="121" t="s">
        <v>1090</v>
      </c>
      <c r="B5" s="17" t="s">
        <v>1082</v>
      </c>
      <c r="C5" s="123" t="n">
        <v>0.3</v>
      </c>
      <c r="D5" s="123" t="n">
        <v>0.5</v>
      </c>
      <c r="E5" s="123" t="n">
        <v>3.65</v>
      </c>
      <c r="F5" s="123" t="n">
        <v>0.15</v>
      </c>
      <c r="G5" s="17" t="n">
        <f aca="false">((C5+0.2)+(D5-F5)*2)*E5</f>
        <v>4.38</v>
      </c>
      <c r="H5" s="17" t="n">
        <f aca="false">C5*(D5-F5)*E5</f>
        <v>0.38325</v>
      </c>
      <c r="I5" s="123" t="n">
        <v>20</v>
      </c>
      <c r="J5" s="123" t="n">
        <v>10</v>
      </c>
      <c r="K5" s="17" t="n">
        <f aca="false">'rebar weight'!H4*J5*E5</f>
        <v>90.009</v>
      </c>
      <c r="L5" s="123" t="n">
        <v>8</v>
      </c>
      <c r="M5" s="123" t="n">
        <f aca="false">1.5</f>
        <v>1.5</v>
      </c>
      <c r="N5" s="125" t="n">
        <f aca="false">E5/0.15</f>
        <v>24.3333333333333</v>
      </c>
      <c r="O5" s="125" t="n">
        <f aca="false">'rebar weight'!C4*M5*N5</f>
        <v>14.4175</v>
      </c>
      <c r="P5" s="123" t="n">
        <v>8</v>
      </c>
      <c r="Q5" s="123" t="n">
        <f aca="false">0.64+0.5</f>
        <v>1.14</v>
      </c>
      <c r="R5" s="124" t="n">
        <f aca="false">E5/0.15</f>
        <v>24.3333333333333</v>
      </c>
      <c r="S5" s="125" t="n">
        <f aca="false">0.395*Q5*R5</f>
        <v>10.9573</v>
      </c>
      <c r="T5" s="123" t="n">
        <v>12</v>
      </c>
      <c r="U5" s="123" t="n">
        <v>2</v>
      </c>
      <c r="V5" s="17" t="n">
        <f aca="false">0.888*U5*E5</f>
        <v>6.4824</v>
      </c>
    </row>
    <row r="6" customFormat="false" ht="14.25" hidden="false" customHeight="true" outlineLevel="0" collapsed="false">
      <c r="A6" s="121" t="s">
        <v>1090</v>
      </c>
      <c r="B6" s="17" t="s">
        <v>1083</v>
      </c>
      <c r="C6" s="123" t="n">
        <v>0.3</v>
      </c>
      <c r="D6" s="123" t="n">
        <v>0.6</v>
      </c>
      <c r="E6" s="123" t="n">
        <v>1.34</v>
      </c>
      <c r="F6" s="123" t="n">
        <v>0.15</v>
      </c>
      <c r="G6" s="17" t="n">
        <f aca="false">((C6+0.2)+(D6-F6)*2)*E6</f>
        <v>1.876</v>
      </c>
      <c r="H6" s="17" t="n">
        <f aca="false">C6*(D6-F6)*E6</f>
        <v>0.1809</v>
      </c>
      <c r="I6" s="123" t="n">
        <v>20</v>
      </c>
      <c r="J6" s="123" t="n">
        <v>10</v>
      </c>
      <c r="K6" s="17" t="n">
        <f aca="false">2.466*J6*E6</f>
        <v>33.0444</v>
      </c>
      <c r="L6" s="123" t="n">
        <v>10</v>
      </c>
      <c r="M6" s="123" t="n">
        <f aca="false">1.6+0.75+0.5+0.5</f>
        <v>3.35</v>
      </c>
      <c r="N6" s="125" t="n">
        <f aca="false">E6/0.15</f>
        <v>8.93333333333333</v>
      </c>
      <c r="O6" s="125" t="n">
        <f aca="false">0.617*M6*N6</f>
        <v>18.4647533333333</v>
      </c>
      <c r="P6" s="123" t="n">
        <v>10</v>
      </c>
      <c r="Q6" s="123" t="n">
        <f aca="false">1.6+0.75+0.5+0.5</f>
        <v>3.35</v>
      </c>
      <c r="R6" s="124" t="n">
        <f aca="false">E6/0.15</f>
        <v>8.93333333333333</v>
      </c>
      <c r="S6" s="125" t="n">
        <f aca="false">0.617*Q6*R6</f>
        <v>18.4647533333333</v>
      </c>
      <c r="T6" s="123" t="n">
        <v>12</v>
      </c>
      <c r="U6" s="123" t="n">
        <v>2</v>
      </c>
      <c r="V6" s="17" t="n">
        <f aca="false">0.888*U6*E6</f>
        <v>2.37984</v>
      </c>
    </row>
    <row r="7" customFormat="false" ht="14.25" hidden="false" customHeight="true" outlineLevel="0" collapsed="false">
      <c r="A7" s="121" t="s">
        <v>1090</v>
      </c>
      <c r="B7" s="17" t="s">
        <v>1084</v>
      </c>
      <c r="C7" s="123" t="n">
        <v>0.4</v>
      </c>
      <c r="D7" s="123" t="n">
        <v>0.6</v>
      </c>
      <c r="E7" s="123" t="n">
        <v>43</v>
      </c>
      <c r="F7" s="123" t="n">
        <v>0.15</v>
      </c>
      <c r="G7" s="17" t="n">
        <f aca="false">((C7+0.2)+(D7-F7)*2)*E7</f>
        <v>64.5</v>
      </c>
      <c r="H7" s="17" t="n">
        <f aca="false">C7*(D7-F7)*E7</f>
        <v>7.74</v>
      </c>
      <c r="I7" s="123" t="n">
        <v>20</v>
      </c>
      <c r="J7" s="123" t="n">
        <v>16</v>
      </c>
      <c r="K7" s="17" t="n">
        <f aca="false">'rebar weight'!H4*J7*E7</f>
        <v>1696.608</v>
      </c>
      <c r="L7" s="123" t="n">
        <v>10</v>
      </c>
      <c r="M7" s="123" t="n">
        <f aca="false">2+1.5</f>
        <v>3.5</v>
      </c>
      <c r="N7" s="125" t="n">
        <f aca="false">E7/0.15</f>
        <v>286.666666666667</v>
      </c>
      <c r="O7" s="125" t="n">
        <f aca="false">0.617*M7*N7</f>
        <v>619.056666666667</v>
      </c>
      <c r="P7" s="123" t="n">
        <v>10</v>
      </c>
      <c r="Q7" s="123" t="n">
        <f aca="false">0.6+0.6</f>
        <v>1.2</v>
      </c>
      <c r="R7" s="124" t="n">
        <f aca="false">E7/0.3</f>
        <v>143.333333333333</v>
      </c>
      <c r="S7" s="125" t="n">
        <f aca="false">0.617*Q7*R7</f>
        <v>106.124</v>
      </c>
      <c r="T7" s="123" t="n">
        <v>16</v>
      </c>
      <c r="U7" s="123" t="n">
        <v>2</v>
      </c>
      <c r="V7" s="17" t="n">
        <f aca="false">'rebar weight'!G4*U7*E7</f>
        <v>135.708</v>
      </c>
    </row>
    <row r="8" customFormat="false" ht="14.25" hidden="false" customHeight="true" outlineLevel="0" collapsed="false">
      <c r="A8" s="121" t="s">
        <v>1090</v>
      </c>
      <c r="B8" s="17" t="s">
        <v>1085</v>
      </c>
      <c r="C8" s="123" t="n">
        <v>0.4</v>
      </c>
      <c r="D8" s="123" t="n">
        <v>0.7</v>
      </c>
      <c r="E8" s="123" t="n">
        <v>113</v>
      </c>
      <c r="F8" s="123" t="n">
        <v>0.15</v>
      </c>
      <c r="G8" s="17" t="n">
        <f aca="false">((C8+0.2)+(D8-F8)*2)*E8</f>
        <v>192.1</v>
      </c>
      <c r="H8" s="17" t="n">
        <f aca="false">C8*(D8-F8)*E8</f>
        <v>24.86</v>
      </c>
      <c r="I8" s="123" t="n">
        <v>25</v>
      </c>
      <c r="J8" s="123" t="n">
        <v>16</v>
      </c>
      <c r="K8" s="17" t="n">
        <f aca="false">'rebar weight'!I4*J8*E8</f>
        <v>6966.224</v>
      </c>
      <c r="L8" s="123" t="n">
        <v>10</v>
      </c>
      <c r="M8" s="123" t="n">
        <f aca="false">2+1.5</f>
        <v>3.5</v>
      </c>
      <c r="N8" s="125" t="n">
        <f aca="false">E8/0.15</f>
        <v>753.333333333333</v>
      </c>
      <c r="O8" s="125" t="n">
        <f aca="false">0.617*M8*N8</f>
        <v>1626.82333333333</v>
      </c>
      <c r="P8" s="123" t="n">
        <v>10</v>
      </c>
      <c r="Q8" s="123" t="n">
        <f aca="false">0.6+0.6</f>
        <v>1.2</v>
      </c>
      <c r="R8" s="124" t="n">
        <f aca="false">E8/0.3</f>
        <v>376.666666666667</v>
      </c>
      <c r="S8" s="125" t="n">
        <f aca="false">0.617*Q8*R8</f>
        <v>278.884</v>
      </c>
      <c r="T8" s="123" t="n">
        <v>16</v>
      </c>
      <c r="U8" s="123" t="n">
        <v>2</v>
      </c>
      <c r="V8" s="17" t="n">
        <f aca="false">'rebar weight'!G4*U8*E8</f>
        <v>356.628</v>
      </c>
    </row>
    <row r="9" customFormat="false" ht="14.25" hidden="false" customHeight="true" outlineLevel="0" collapsed="false">
      <c r="A9" s="121" t="s">
        <v>1090</v>
      </c>
      <c r="B9" s="17" t="s">
        <v>1086</v>
      </c>
      <c r="C9" s="123" t="n">
        <v>0.2</v>
      </c>
      <c r="D9" s="123" t="n">
        <v>0.4</v>
      </c>
      <c r="E9" s="123" t="n">
        <v>0</v>
      </c>
      <c r="F9" s="123" t="n">
        <v>0.15</v>
      </c>
      <c r="G9" s="17" t="n">
        <f aca="false">((C9+0.2)+(D9-F9)*2)*E9</f>
        <v>0</v>
      </c>
      <c r="H9" s="17" t="n">
        <f aca="false">C9*(D9-F9)*E9</f>
        <v>0</v>
      </c>
      <c r="I9" s="123" t="n">
        <v>0</v>
      </c>
      <c r="J9" s="123" t="n">
        <v>0</v>
      </c>
      <c r="K9" s="17" t="n">
        <f aca="false">2.466*J9*E9</f>
        <v>0</v>
      </c>
      <c r="L9" s="123"/>
      <c r="M9" s="123"/>
      <c r="N9" s="125" t="n">
        <f aca="false">E9/0.15</f>
        <v>0</v>
      </c>
      <c r="O9" s="125" t="n">
        <f aca="false">0.617*M9*N9</f>
        <v>0</v>
      </c>
      <c r="P9" s="123"/>
      <c r="Q9" s="123"/>
      <c r="R9" s="124" t="n">
        <f aca="false">E9/0.15</f>
        <v>0</v>
      </c>
      <c r="S9" s="125" t="n">
        <f aca="false">0.617*Q9*R9</f>
        <v>0</v>
      </c>
      <c r="T9" s="123"/>
      <c r="U9" s="123"/>
      <c r="V9" s="17" t="n">
        <f aca="false">1.578*U9*E9</f>
        <v>0</v>
      </c>
    </row>
    <row r="10" customFormat="false" ht="14.25" hidden="false" customHeight="true" outlineLevel="0" collapsed="false">
      <c r="A10" s="121" t="s">
        <v>1090</v>
      </c>
      <c r="B10" s="17" t="s">
        <v>1087</v>
      </c>
      <c r="C10" s="123" t="n">
        <v>0.4</v>
      </c>
      <c r="D10" s="123" t="n">
        <v>0.7</v>
      </c>
      <c r="E10" s="123" t="n">
        <v>9.1</v>
      </c>
      <c r="F10" s="123" t="n">
        <v>0.15</v>
      </c>
      <c r="G10" s="17" t="n">
        <f aca="false">((C10+0.2)+(D10-F10)*2)*E10</f>
        <v>15.47</v>
      </c>
      <c r="H10" s="17" t="n">
        <f aca="false">C10*(D10-F10)*E10</f>
        <v>2.002</v>
      </c>
      <c r="I10" s="123" t="n">
        <v>25</v>
      </c>
      <c r="J10" s="123" t="n">
        <v>16</v>
      </c>
      <c r="K10" s="17" t="n">
        <f aca="false">'rebar weight'!I4*J10*E10</f>
        <v>560.9968</v>
      </c>
      <c r="L10" s="123" t="n">
        <v>12</v>
      </c>
      <c r="M10" s="123" t="n">
        <f aca="false">2.2+1.7</f>
        <v>3.9</v>
      </c>
      <c r="N10" s="125" t="n">
        <f aca="false">E10/0.15</f>
        <v>60.6666666666667</v>
      </c>
      <c r="O10" s="125" t="n">
        <f aca="false">'rebar weight'!E4*M10*N10</f>
        <v>210.1008</v>
      </c>
      <c r="P10" s="123" t="n">
        <v>10</v>
      </c>
      <c r="Q10" s="123" t="n">
        <f aca="false">0.55+0.55+0.55</f>
        <v>1.65</v>
      </c>
      <c r="R10" s="124" t="n">
        <f aca="false">E10/0.3</f>
        <v>30.3333333333333</v>
      </c>
      <c r="S10" s="125" t="n">
        <f aca="false">'rebar weight'!D4*Q10*R10</f>
        <v>30.88085</v>
      </c>
      <c r="T10" s="123" t="n">
        <v>16</v>
      </c>
      <c r="U10" s="123" t="n">
        <v>4</v>
      </c>
      <c r="V10" s="17" t="n">
        <f aca="false">'rebar weight'!G4*U10*E10</f>
        <v>57.4392</v>
      </c>
    </row>
    <row r="11" customFormat="false" ht="14.25" hidden="false" customHeight="true" outlineLevel="0" collapsed="false">
      <c r="G11" s="10" t="n">
        <f aca="false">SUM(G3:G10)</f>
        <v>446.526</v>
      </c>
      <c r="H11" s="10" t="n">
        <f aca="false">SUM(H3:H10)</f>
        <v>46.74115</v>
      </c>
    </row>
    <row r="14" customFormat="false" ht="14.25" hidden="false" customHeight="true" outlineLevel="0" collapsed="false">
      <c r="I14" s="10" t="n">
        <v>8</v>
      </c>
      <c r="J14" s="126" t="n">
        <f aca="false">O3+O4+O5+S3+S4+S5</f>
        <v>624.1948</v>
      </c>
      <c r="K14" s="126" t="n">
        <f aca="false">J14/$H$11</f>
        <v>13.3542884588847</v>
      </c>
    </row>
    <row r="15" customFormat="false" ht="14.25" hidden="false" customHeight="true" outlineLevel="0" collapsed="false">
      <c r="I15" s="10" t="n">
        <v>10</v>
      </c>
      <c r="J15" s="126" t="n">
        <f aca="false">O6+O7+O8+R6+R7+R8+R9+R10</f>
        <v>2823.61142</v>
      </c>
      <c r="K15" s="126" t="n">
        <f aca="false">J15/$H$11</f>
        <v>60.409541057505</v>
      </c>
    </row>
    <row r="16" customFormat="false" ht="14.25" hidden="false" customHeight="true" outlineLevel="0" collapsed="false">
      <c r="I16" s="10" t="n">
        <v>12</v>
      </c>
      <c r="J16" s="126" t="n">
        <f aca="false">O10+V4+V5+V6</f>
        <v>295.33104</v>
      </c>
      <c r="K16" s="126" t="n">
        <f aca="false">J16/$H$11</f>
        <v>6.31843760797499</v>
      </c>
    </row>
    <row r="17" customFormat="false" ht="14.25" hidden="false" customHeight="true" outlineLevel="0" collapsed="false">
      <c r="I17" s="10" t="n">
        <v>16</v>
      </c>
      <c r="J17" s="126" t="n">
        <f aca="false">K3+K4+V7+V8+V10</f>
        <v>2411.8152</v>
      </c>
      <c r="K17" s="126" t="n">
        <f aca="false">J17/$H$11</f>
        <v>51.5993979608974</v>
      </c>
    </row>
    <row r="18" customFormat="false" ht="14.25" hidden="false" customHeight="true" outlineLevel="0" collapsed="false">
      <c r="I18" s="10" t="n">
        <v>20</v>
      </c>
      <c r="J18" s="126" t="n">
        <f aca="false">K5+K6+K7</f>
        <v>1819.6614</v>
      </c>
      <c r="K18" s="126" t="n">
        <f aca="false">J18/$H$11</f>
        <v>38.9306082541829</v>
      </c>
    </row>
    <row r="19" customFormat="false" ht="14.25" hidden="false" customHeight="true" outlineLevel="0" collapsed="false">
      <c r="I19" s="10" t="n">
        <v>25</v>
      </c>
      <c r="J19" s="126" t="n">
        <f aca="false">K8+K10</f>
        <v>7527.2208</v>
      </c>
      <c r="K19" s="126" t="n">
        <f aca="false">J19/$H$11</f>
        <v>161.040556340612</v>
      </c>
    </row>
    <row r="20" customFormat="false" ht="14.25" hidden="false" customHeight="true" outlineLevel="0" collapsed="false">
      <c r="J20" s="126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J37" activeCellId="0" sqref="J37"/>
    </sheetView>
  </sheetViews>
  <sheetFormatPr defaultColWidth="8.71484375" defaultRowHeight="15" zeroHeight="false" outlineLevelRow="0" outlineLevelCol="0"/>
  <cols>
    <col collapsed="false" customWidth="true" hidden="false" outlineLevel="0" max="1" min="1" style="118" width="9.14"/>
    <col collapsed="false" customWidth="true" hidden="false" outlineLevel="0" max="2" min="2" style="10" width="12.57"/>
    <col collapsed="false" customWidth="true" hidden="false" outlineLevel="0" max="3" min="3" style="10" width="15.29"/>
    <col collapsed="false" customWidth="true" hidden="false" outlineLevel="0" max="4" min="4" style="10" width="16"/>
    <col collapsed="false" customWidth="true" hidden="false" outlineLevel="0" max="5" min="5" style="10" width="17.29"/>
    <col collapsed="false" customWidth="true" hidden="false" outlineLevel="0" max="6" min="6" style="10" width="19.42"/>
    <col collapsed="false" customWidth="true" hidden="false" outlineLevel="0" max="7" min="7" style="10" width="15.71"/>
    <col collapsed="false" customWidth="true" hidden="false" outlineLevel="0" max="8" min="8" style="10" width="14.57"/>
    <col collapsed="false" customWidth="true" hidden="false" outlineLevel="0" max="9" min="9" style="10" width="14.42"/>
    <col collapsed="false" customWidth="true" hidden="false" outlineLevel="0" max="10" min="10" style="10" width="19.86"/>
    <col collapsed="false" customWidth="true" hidden="false" outlineLevel="0" max="11" min="11" style="10" width="12"/>
    <col collapsed="false" customWidth="true" hidden="false" outlineLevel="0" max="12" min="12" style="10" width="7.71"/>
    <col collapsed="false" customWidth="true" hidden="false" outlineLevel="0" max="13" min="13" style="10" width="10.71"/>
    <col collapsed="false" customWidth="true" hidden="false" outlineLevel="0" max="14" min="14" style="10" width="20.71"/>
    <col collapsed="false" customWidth="true" hidden="false" outlineLevel="0" max="15" min="15" style="10" width="13"/>
    <col collapsed="false" customWidth="true" hidden="false" outlineLevel="0" max="16" min="16" style="10" width="7.71"/>
    <col collapsed="false" customWidth="true" hidden="false" outlineLevel="0" max="17" min="17" style="10" width="10.71"/>
    <col collapsed="false" customWidth="true" hidden="false" outlineLevel="0" max="18" min="18" style="10" width="20.71"/>
    <col collapsed="false" customWidth="true" hidden="false" outlineLevel="0" max="19" min="19" style="10" width="12"/>
    <col collapsed="false" customWidth="true" hidden="false" outlineLevel="0" max="20" min="20" style="10" width="13.57"/>
    <col collapsed="false" customWidth="true" hidden="false" outlineLevel="0" max="21" min="21" style="10" width="19.14"/>
    <col collapsed="false" customWidth="true" hidden="false" outlineLevel="0" max="22" min="22" style="10" width="12"/>
  </cols>
  <sheetData>
    <row r="1" customFormat="false" ht="14.25" hidden="false" customHeight="true" outlineLevel="0" collapsed="false">
      <c r="A1" s="120" t="s">
        <v>1088</v>
      </c>
      <c r="B1" s="120"/>
      <c r="C1" s="120"/>
      <c r="D1" s="120"/>
      <c r="E1" s="120"/>
      <c r="F1" s="120"/>
    </row>
    <row r="2" customFormat="false" ht="14.25" hidden="false" customHeight="true" outlineLevel="0" collapsed="false">
      <c r="A2" s="121" t="s">
        <v>1060</v>
      </c>
      <c r="B2" s="17" t="s">
        <v>1061</v>
      </c>
      <c r="C2" s="17" t="s">
        <v>1062</v>
      </c>
      <c r="D2" s="17" t="s">
        <v>1063</v>
      </c>
      <c r="E2" s="17" t="s">
        <v>1064</v>
      </c>
      <c r="F2" s="17" t="s">
        <v>1065</v>
      </c>
      <c r="G2" s="17" t="s">
        <v>1066</v>
      </c>
      <c r="H2" s="17" t="s">
        <v>1067</v>
      </c>
      <c r="I2" s="17" t="s">
        <v>1071</v>
      </c>
      <c r="J2" s="17" t="s">
        <v>1072</v>
      </c>
      <c r="K2" s="122" t="s">
        <v>1073</v>
      </c>
      <c r="L2" s="122" t="s">
        <v>1074</v>
      </c>
      <c r="M2" s="122" t="s">
        <v>1075</v>
      </c>
      <c r="N2" s="17" t="s">
        <v>1076</v>
      </c>
      <c r="O2" s="17" t="s">
        <v>1073</v>
      </c>
      <c r="P2" s="122" t="s">
        <v>1089</v>
      </c>
      <c r="Q2" s="122" t="s">
        <v>1075</v>
      </c>
      <c r="R2" s="17" t="s">
        <v>1076</v>
      </c>
      <c r="S2" s="17" t="s">
        <v>1073</v>
      </c>
      <c r="T2" s="17" t="s">
        <v>1077</v>
      </c>
      <c r="U2" s="17" t="s">
        <v>1078</v>
      </c>
      <c r="V2" s="17" t="s">
        <v>1073</v>
      </c>
    </row>
    <row r="3" customFormat="false" ht="14.25" hidden="false" customHeight="true" outlineLevel="0" collapsed="false">
      <c r="A3" s="121" t="s">
        <v>1090</v>
      </c>
      <c r="B3" s="17" t="s">
        <v>1080</v>
      </c>
      <c r="C3" s="123" t="n">
        <v>0.25</v>
      </c>
      <c r="D3" s="123" t="n">
        <v>0.4</v>
      </c>
      <c r="E3" s="123" t="n">
        <v>125</v>
      </c>
      <c r="F3" s="123" t="n">
        <v>0.15</v>
      </c>
      <c r="G3" s="17" t="n">
        <f aca="false">((C3+0.2)+(D3-F3)*2)*E3</f>
        <v>118.75</v>
      </c>
      <c r="H3" s="17" t="n">
        <f aca="false">C3*(D3-F3)*E3</f>
        <v>7.8125</v>
      </c>
      <c r="I3" s="123" t="n">
        <v>16</v>
      </c>
      <c r="J3" s="123" t="n">
        <v>6</v>
      </c>
      <c r="K3" s="17" t="n">
        <f aca="false">J3*E3*'rebar weight'!G4</f>
        <v>1183.5</v>
      </c>
      <c r="L3" s="123" t="n">
        <v>8</v>
      </c>
      <c r="M3" s="123" t="n">
        <v>1.2</v>
      </c>
      <c r="N3" s="125" t="n">
        <f aca="false">E3/0.15</f>
        <v>833.333333333333</v>
      </c>
      <c r="O3" s="125" t="n">
        <f aca="false">M3*N3*'rebar weight'!C4</f>
        <v>395</v>
      </c>
      <c r="P3" s="123" t="n">
        <v>0</v>
      </c>
      <c r="Q3" s="123" t="n">
        <v>0</v>
      </c>
      <c r="R3" s="124" t="n">
        <f aca="false">E3/0.15</f>
        <v>833.333333333333</v>
      </c>
      <c r="S3" s="125" t="n">
        <f aca="false">0.395*Q3*R3</f>
        <v>0</v>
      </c>
      <c r="T3" s="123" t="n">
        <v>0</v>
      </c>
      <c r="U3" s="123" t="n">
        <v>0</v>
      </c>
      <c r="V3" s="17" t="n">
        <f aca="false">'rebar weight'!E3*U3*E3</f>
        <v>0</v>
      </c>
    </row>
    <row r="4" customFormat="false" ht="14.25" hidden="false" customHeight="true" outlineLevel="0" collapsed="false">
      <c r="A4" s="121" t="s">
        <v>1090</v>
      </c>
      <c r="B4" s="17" t="s">
        <v>1081</v>
      </c>
      <c r="C4" s="123" t="n">
        <v>0.25</v>
      </c>
      <c r="D4" s="123" t="n">
        <v>0.5</v>
      </c>
      <c r="E4" s="123" t="n">
        <v>43</v>
      </c>
      <c r="F4" s="123" t="n">
        <v>0.15</v>
      </c>
      <c r="G4" s="17" t="n">
        <f aca="false">((C4+0.2)+(D4-F4)*2)*E4</f>
        <v>49.45</v>
      </c>
      <c r="H4" s="17" t="n">
        <f aca="false">C4*(D4-F4)*E4</f>
        <v>3.7625</v>
      </c>
      <c r="I4" s="123" t="n">
        <v>16</v>
      </c>
      <c r="J4" s="123" t="n">
        <v>10</v>
      </c>
      <c r="K4" s="17" t="n">
        <f aca="false">'rebar weight'!G4*J4*E4</f>
        <v>678.54</v>
      </c>
      <c r="L4" s="123" t="n">
        <v>8</v>
      </c>
      <c r="M4" s="123" t="n">
        <f aca="false">1.4</f>
        <v>1.4</v>
      </c>
      <c r="N4" s="125" t="n">
        <f aca="false">E4/0.15</f>
        <v>286.666666666667</v>
      </c>
      <c r="O4" s="125" t="n">
        <f aca="false">0.395*M4*N4</f>
        <v>158.526666666667</v>
      </c>
      <c r="P4" s="123" t="n">
        <v>8</v>
      </c>
      <c r="Q4" s="123" t="n">
        <f aca="false">0.4</f>
        <v>0.4</v>
      </c>
      <c r="R4" s="124" t="n">
        <f aca="false">E4/0.15</f>
        <v>286.666666666667</v>
      </c>
      <c r="S4" s="125" t="n">
        <f aca="false">0.395*Q4*R4</f>
        <v>45.2933333333333</v>
      </c>
      <c r="T4" s="123" t="n">
        <v>12</v>
      </c>
      <c r="U4" s="123" t="n">
        <v>2</v>
      </c>
      <c r="V4" s="17" t="n">
        <f aca="false">'rebar weight'!E4*U4*E4</f>
        <v>76.368</v>
      </c>
    </row>
    <row r="5" customFormat="false" ht="14.25" hidden="false" customHeight="true" outlineLevel="0" collapsed="false">
      <c r="A5" s="121" t="s">
        <v>1090</v>
      </c>
      <c r="B5" s="17" t="s">
        <v>1082</v>
      </c>
      <c r="C5" s="123" t="n">
        <v>0.3</v>
      </c>
      <c r="D5" s="123" t="n">
        <v>0.5</v>
      </c>
      <c r="E5" s="123" t="n">
        <v>3.65</v>
      </c>
      <c r="F5" s="123" t="n">
        <v>0.15</v>
      </c>
      <c r="G5" s="17" t="n">
        <f aca="false">((C5+0.2)+(D5-F5)*2)*E5</f>
        <v>4.38</v>
      </c>
      <c r="H5" s="17" t="n">
        <f aca="false">C5*(D5-F5)*E5</f>
        <v>0.38325</v>
      </c>
      <c r="I5" s="123" t="n">
        <v>20</v>
      </c>
      <c r="J5" s="123" t="n">
        <v>10</v>
      </c>
      <c r="K5" s="17" t="n">
        <f aca="false">'rebar weight'!H4*J5*E5</f>
        <v>90.009</v>
      </c>
      <c r="L5" s="123" t="n">
        <v>8</v>
      </c>
      <c r="M5" s="123" t="n">
        <f aca="false">1.5</f>
        <v>1.5</v>
      </c>
      <c r="N5" s="125" t="n">
        <f aca="false">E5/0.15</f>
        <v>24.3333333333333</v>
      </c>
      <c r="O5" s="125" t="n">
        <f aca="false">'rebar weight'!C4*M5*N5</f>
        <v>14.4175</v>
      </c>
      <c r="P5" s="123" t="n">
        <v>8</v>
      </c>
      <c r="Q5" s="123" t="n">
        <f aca="false">0.64+0.5</f>
        <v>1.14</v>
      </c>
      <c r="R5" s="124" t="n">
        <f aca="false">E5/0.15</f>
        <v>24.3333333333333</v>
      </c>
      <c r="S5" s="125" t="n">
        <f aca="false">0.395*Q5*R5</f>
        <v>10.9573</v>
      </c>
      <c r="T5" s="123" t="n">
        <v>12</v>
      </c>
      <c r="U5" s="123" t="n">
        <v>2</v>
      </c>
      <c r="V5" s="17" t="n">
        <f aca="false">0.888*U5*E5</f>
        <v>6.4824</v>
      </c>
    </row>
    <row r="6" customFormat="false" ht="14.25" hidden="false" customHeight="true" outlineLevel="0" collapsed="false">
      <c r="A6" s="121" t="s">
        <v>1090</v>
      </c>
      <c r="B6" s="17" t="s">
        <v>1083</v>
      </c>
      <c r="C6" s="123" t="n">
        <v>0.3</v>
      </c>
      <c r="D6" s="123" t="n">
        <v>0.6</v>
      </c>
      <c r="E6" s="123" t="n">
        <v>1.34</v>
      </c>
      <c r="F6" s="123" t="n">
        <v>0.15</v>
      </c>
      <c r="G6" s="17" t="n">
        <f aca="false">((C6+0.2)+(D6-F6)*2)*E6</f>
        <v>1.876</v>
      </c>
      <c r="H6" s="17" t="n">
        <f aca="false">C6*(D6-F6)*E6</f>
        <v>0.1809</v>
      </c>
      <c r="I6" s="123" t="n">
        <v>20</v>
      </c>
      <c r="J6" s="123" t="n">
        <v>10</v>
      </c>
      <c r="K6" s="17" t="n">
        <f aca="false">2.466*J6*E6</f>
        <v>33.0444</v>
      </c>
      <c r="L6" s="123" t="n">
        <v>10</v>
      </c>
      <c r="M6" s="123" t="n">
        <f aca="false">1.6+0.75+0.5+0.5</f>
        <v>3.35</v>
      </c>
      <c r="N6" s="125" t="n">
        <f aca="false">E6/0.15</f>
        <v>8.93333333333333</v>
      </c>
      <c r="O6" s="125" t="n">
        <f aca="false">0.617*M6*N6</f>
        <v>18.4647533333333</v>
      </c>
      <c r="P6" s="123" t="n">
        <v>10</v>
      </c>
      <c r="Q6" s="123" t="n">
        <f aca="false">1.6+0.75+0.5+0.5</f>
        <v>3.35</v>
      </c>
      <c r="R6" s="124" t="n">
        <f aca="false">E6/0.15</f>
        <v>8.93333333333333</v>
      </c>
      <c r="S6" s="125" t="n">
        <f aca="false">0.617*Q6*R6</f>
        <v>18.4647533333333</v>
      </c>
      <c r="T6" s="123" t="n">
        <v>12</v>
      </c>
      <c r="U6" s="123" t="n">
        <v>2</v>
      </c>
      <c r="V6" s="17" t="n">
        <f aca="false">0.888*U6*E6</f>
        <v>2.37984</v>
      </c>
    </row>
    <row r="7" customFormat="false" ht="14.25" hidden="false" customHeight="true" outlineLevel="0" collapsed="false">
      <c r="A7" s="121" t="s">
        <v>1090</v>
      </c>
      <c r="B7" s="17" t="s">
        <v>1084</v>
      </c>
      <c r="C7" s="123" t="n">
        <v>0.4</v>
      </c>
      <c r="D7" s="123" t="n">
        <v>0.6</v>
      </c>
      <c r="E7" s="123" t="n">
        <v>43</v>
      </c>
      <c r="F7" s="123" t="n">
        <v>0.15</v>
      </c>
      <c r="G7" s="17" t="n">
        <f aca="false">((C7+0.2)+(D7-F7)*2)*E7</f>
        <v>64.5</v>
      </c>
      <c r="H7" s="17" t="n">
        <f aca="false">C7*(D7-F7)*E7</f>
        <v>7.74</v>
      </c>
      <c r="I7" s="123" t="n">
        <v>20</v>
      </c>
      <c r="J7" s="123" t="n">
        <v>16</v>
      </c>
      <c r="K7" s="17" t="n">
        <f aca="false">'rebar weight'!H4*J7*E7</f>
        <v>1696.608</v>
      </c>
      <c r="L7" s="123" t="n">
        <v>10</v>
      </c>
      <c r="M7" s="123" t="n">
        <f aca="false">2+1.5</f>
        <v>3.5</v>
      </c>
      <c r="N7" s="125" t="n">
        <f aca="false">E7/0.15</f>
        <v>286.666666666667</v>
      </c>
      <c r="O7" s="125" t="n">
        <f aca="false">0.617*M7*N7</f>
        <v>619.056666666667</v>
      </c>
      <c r="P7" s="123" t="n">
        <v>10</v>
      </c>
      <c r="Q7" s="123" t="n">
        <f aca="false">0.6+0.6</f>
        <v>1.2</v>
      </c>
      <c r="R7" s="124" t="n">
        <f aca="false">E7/0.3</f>
        <v>143.333333333333</v>
      </c>
      <c r="S7" s="125" t="n">
        <f aca="false">0.617*Q7*R7</f>
        <v>106.124</v>
      </c>
      <c r="T7" s="123" t="n">
        <v>16</v>
      </c>
      <c r="U7" s="123" t="n">
        <v>2</v>
      </c>
      <c r="V7" s="17" t="n">
        <f aca="false">'rebar weight'!G4*U7*E7</f>
        <v>135.708</v>
      </c>
    </row>
    <row r="8" customFormat="false" ht="14.25" hidden="false" customHeight="true" outlineLevel="0" collapsed="false">
      <c r="A8" s="121" t="s">
        <v>1090</v>
      </c>
      <c r="B8" s="17" t="s">
        <v>1085</v>
      </c>
      <c r="C8" s="123" t="n">
        <v>0.4</v>
      </c>
      <c r="D8" s="123" t="n">
        <v>0.7</v>
      </c>
      <c r="E8" s="123" t="n">
        <v>113</v>
      </c>
      <c r="F8" s="123" t="n">
        <v>0.15</v>
      </c>
      <c r="G8" s="17" t="n">
        <f aca="false">((C8+0.2)+(D8-F8)*2)*E8</f>
        <v>192.1</v>
      </c>
      <c r="H8" s="17" t="n">
        <f aca="false">C8*(D8-F8)*E8</f>
        <v>24.86</v>
      </c>
      <c r="I8" s="123" t="n">
        <v>25</v>
      </c>
      <c r="J8" s="123" t="n">
        <v>16</v>
      </c>
      <c r="K8" s="17" t="n">
        <f aca="false">'rebar weight'!I4*J8*E8</f>
        <v>6966.224</v>
      </c>
      <c r="L8" s="123" t="n">
        <v>10</v>
      </c>
      <c r="M8" s="123" t="n">
        <f aca="false">2+1.5</f>
        <v>3.5</v>
      </c>
      <c r="N8" s="125" t="n">
        <f aca="false">E8/0.15</f>
        <v>753.333333333333</v>
      </c>
      <c r="O8" s="125" t="n">
        <f aca="false">0.617*M8*N8</f>
        <v>1626.82333333333</v>
      </c>
      <c r="P8" s="123" t="n">
        <v>10</v>
      </c>
      <c r="Q8" s="123" t="n">
        <f aca="false">0.6+0.6</f>
        <v>1.2</v>
      </c>
      <c r="R8" s="124" t="n">
        <f aca="false">E8/0.3</f>
        <v>376.666666666667</v>
      </c>
      <c r="S8" s="125" t="n">
        <f aca="false">0.617*Q8*R8</f>
        <v>278.884</v>
      </c>
      <c r="T8" s="123" t="n">
        <v>16</v>
      </c>
      <c r="U8" s="123" t="n">
        <v>2</v>
      </c>
      <c r="V8" s="17" t="n">
        <f aca="false">'rebar weight'!G4*U8*E8</f>
        <v>356.628</v>
      </c>
    </row>
    <row r="9" customFormat="false" ht="14.25" hidden="false" customHeight="true" outlineLevel="0" collapsed="false">
      <c r="A9" s="121" t="s">
        <v>1090</v>
      </c>
      <c r="B9" s="17" t="s">
        <v>1086</v>
      </c>
      <c r="C9" s="123" t="n">
        <v>0.2</v>
      </c>
      <c r="D9" s="123" t="n">
        <v>0.4</v>
      </c>
      <c r="E9" s="123" t="n">
        <v>0</v>
      </c>
      <c r="F9" s="123" t="n">
        <v>0.15</v>
      </c>
      <c r="G9" s="17" t="n">
        <f aca="false">((C9+0.2)+(D9-F9)*2)*E9</f>
        <v>0</v>
      </c>
      <c r="H9" s="17" t="n">
        <f aca="false">C9*(D9-F9)*E9</f>
        <v>0</v>
      </c>
      <c r="I9" s="123" t="n">
        <v>0</v>
      </c>
      <c r="J9" s="123" t="n">
        <v>0</v>
      </c>
      <c r="K9" s="17" t="n">
        <f aca="false">2.466*J9*E9</f>
        <v>0</v>
      </c>
      <c r="L9" s="123"/>
      <c r="M9" s="123"/>
      <c r="N9" s="125" t="n">
        <f aca="false">E9/0.15</f>
        <v>0</v>
      </c>
      <c r="O9" s="125" t="n">
        <f aca="false">0.617*M9*N9</f>
        <v>0</v>
      </c>
      <c r="P9" s="123"/>
      <c r="Q9" s="123"/>
      <c r="R9" s="124" t="n">
        <f aca="false">E9/0.15</f>
        <v>0</v>
      </c>
      <c r="S9" s="125" t="n">
        <f aca="false">0.617*Q9*R9</f>
        <v>0</v>
      </c>
      <c r="T9" s="123"/>
      <c r="U9" s="123"/>
      <c r="V9" s="17" t="n">
        <f aca="false">1.578*U9*E9</f>
        <v>0</v>
      </c>
    </row>
    <row r="10" customFormat="false" ht="14.25" hidden="false" customHeight="true" outlineLevel="0" collapsed="false">
      <c r="A10" s="121" t="s">
        <v>1090</v>
      </c>
      <c r="B10" s="17" t="s">
        <v>1087</v>
      </c>
      <c r="C10" s="123" t="n">
        <v>0.4</v>
      </c>
      <c r="D10" s="123" t="n">
        <v>0.7</v>
      </c>
      <c r="E10" s="123" t="n">
        <v>9.1</v>
      </c>
      <c r="F10" s="123" t="n">
        <v>0.15</v>
      </c>
      <c r="G10" s="17" t="n">
        <f aca="false">((C10+0.2)+(D10-F10)*2)*E10</f>
        <v>15.47</v>
      </c>
      <c r="H10" s="17" t="n">
        <f aca="false">C10*(D10-F10)*E10</f>
        <v>2.002</v>
      </c>
      <c r="I10" s="123" t="n">
        <v>25</v>
      </c>
      <c r="J10" s="123" t="n">
        <v>16</v>
      </c>
      <c r="K10" s="17" t="n">
        <f aca="false">'rebar weight'!I4*J10*E10</f>
        <v>560.9968</v>
      </c>
      <c r="L10" s="123" t="n">
        <v>12</v>
      </c>
      <c r="M10" s="123" t="n">
        <f aca="false">2.2+1.7</f>
        <v>3.9</v>
      </c>
      <c r="N10" s="125" t="n">
        <f aca="false">E10/0.15</f>
        <v>60.6666666666667</v>
      </c>
      <c r="O10" s="125" t="n">
        <f aca="false">'rebar weight'!E4*M10*N10</f>
        <v>210.1008</v>
      </c>
      <c r="P10" s="123" t="n">
        <v>10</v>
      </c>
      <c r="Q10" s="123" t="n">
        <f aca="false">0.55+0.55+0.55</f>
        <v>1.65</v>
      </c>
      <c r="R10" s="124" t="n">
        <f aca="false">E10/0.3</f>
        <v>30.3333333333333</v>
      </c>
      <c r="S10" s="125" t="n">
        <f aca="false">'rebar weight'!D4*Q10*R10</f>
        <v>30.88085</v>
      </c>
      <c r="T10" s="123" t="n">
        <v>16</v>
      </c>
      <c r="U10" s="123" t="n">
        <v>4</v>
      </c>
      <c r="V10" s="17" t="n">
        <f aca="false">'rebar weight'!G4*U10*E10</f>
        <v>57.4392</v>
      </c>
    </row>
    <row r="11" customFormat="false" ht="14.25" hidden="false" customHeight="true" outlineLevel="0" collapsed="false">
      <c r="G11" s="10" t="n">
        <f aca="false">SUM(G3:G10)</f>
        <v>446.526</v>
      </c>
      <c r="H11" s="10" t="n">
        <f aca="false">SUM(H3:H10)</f>
        <v>46.74115</v>
      </c>
    </row>
    <row r="14" customFormat="false" ht="14.25" hidden="false" customHeight="true" outlineLevel="0" collapsed="false">
      <c r="I14" s="10" t="n">
        <v>8</v>
      </c>
      <c r="J14" s="126" t="n">
        <f aca="false">O3+O4+O5+S3+S4+S5</f>
        <v>624.1948</v>
      </c>
      <c r="K14" s="126" t="n">
        <f aca="false">J14/$H$11</f>
        <v>13.3542884588847</v>
      </c>
    </row>
    <row r="15" customFormat="false" ht="14.25" hidden="false" customHeight="true" outlineLevel="0" collapsed="false">
      <c r="I15" s="10" t="n">
        <v>10</v>
      </c>
      <c r="J15" s="126" t="n">
        <f aca="false">O6+O7+O8+R6+R7+R8+R9+R10</f>
        <v>2823.61142</v>
      </c>
      <c r="K15" s="126" t="n">
        <f aca="false">J15/$H$11</f>
        <v>60.409541057505</v>
      </c>
    </row>
    <row r="16" customFormat="false" ht="14.25" hidden="false" customHeight="true" outlineLevel="0" collapsed="false">
      <c r="I16" s="10" t="n">
        <v>12</v>
      </c>
      <c r="J16" s="126" t="n">
        <f aca="false">O10+V4+V5+V6</f>
        <v>295.33104</v>
      </c>
      <c r="K16" s="126" t="n">
        <f aca="false">J16/$H$11</f>
        <v>6.31843760797499</v>
      </c>
    </row>
    <row r="17" customFormat="false" ht="14.25" hidden="false" customHeight="true" outlineLevel="0" collapsed="false">
      <c r="I17" s="10" t="n">
        <v>16</v>
      </c>
      <c r="J17" s="126" t="n">
        <f aca="false">K3+K4+V7+V8+V10</f>
        <v>2411.8152</v>
      </c>
      <c r="K17" s="126" t="n">
        <f aca="false">J17/$H$11</f>
        <v>51.5993979608974</v>
      </c>
    </row>
    <row r="18" customFormat="false" ht="14.25" hidden="false" customHeight="true" outlineLevel="0" collapsed="false">
      <c r="I18" s="10" t="n">
        <v>20</v>
      </c>
      <c r="J18" s="126" t="n">
        <f aca="false">K5+K6+K7</f>
        <v>1819.6614</v>
      </c>
      <c r="K18" s="126" t="n">
        <f aca="false">J18/$H$11</f>
        <v>38.9306082541829</v>
      </c>
    </row>
    <row r="19" customFormat="false" ht="14.25" hidden="false" customHeight="true" outlineLevel="0" collapsed="false">
      <c r="I19" s="10" t="n">
        <v>25</v>
      </c>
      <c r="J19" s="126" t="n">
        <f aca="false">K8+K10</f>
        <v>7527.2208</v>
      </c>
      <c r="K19" s="126" t="n">
        <f aca="false">J19/$H$11</f>
        <v>161.040556340612</v>
      </c>
    </row>
    <row r="20" customFormat="false" ht="14.25" hidden="false" customHeight="true" outlineLevel="0" collapsed="false">
      <c r="J20" s="126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9" activeCellId="0" sqref="G19"/>
    </sheetView>
  </sheetViews>
  <sheetFormatPr defaultColWidth="8.71484375" defaultRowHeight="15" zeroHeight="false" outlineLevelRow="0" outlineLevelCol="0"/>
  <cols>
    <col collapsed="false" customWidth="true" hidden="false" outlineLevel="0" max="1" min="1" style="118" width="9.14"/>
    <col collapsed="false" customWidth="true" hidden="false" outlineLevel="0" max="2" min="2" style="10" width="12.57"/>
    <col collapsed="false" customWidth="true" hidden="false" outlineLevel="0" max="3" min="3" style="10" width="15.29"/>
    <col collapsed="false" customWidth="true" hidden="false" outlineLevel="0" max="4" min="4" style="10" width="16"/>
    <col collapsed="false" customWidth="true" hidden="false" outlineLevel="0" max="5" min="5" style="10" width="17.29"/>
    <col collapsed="false" customWidth="true" hidden="false" outlineLevel="0" max="6" min="6" style="10" width="19.42"/>
    <col collapsed="false" customWidth="true" hidden="false" outlineLevel="0" max="7" min="7" style="10" width="15.71"/>
    <col collapsed="false" customWidth="true" hidden="false" outlineLevel="0" max="8" min="8" style="10" width="14.57"/>
    <col collapsed="false" customWidth="true" hidden="false" outlineLevel="0" max="9" min="9" style="10" width="14.42"/>
    <col collapsed="false" customWidth="true" hidden="false" outlineLevel="0" max="10" min="10" style="10" width="19.86"/>
    <col collapsed="false" customWidth="true" hidden="false" outlineLevel="0" max="11" min="11" style="10" width="12"/>
    <col collapsed="false" customWidth="true" hidden="false" outlineLevel="0" max="12" min="12" style="10" width="7.71"/>
    <col collapsed="false" customWidth="true" hidden="false" outlineLevel="0" max="13" min="13" style="10" width="10.71"/>
    <col collapsed="false" customWidth="true" hidden="false" outlineLevel="0" max="14" min="14" style="10" width="20.71"/>
    <col collapsed="false" customWidth="true" hidden="false" outlineLevel="0" max="15" min="15" style="10" width="13"/>
    <col collapsed="false" customWidth="true" hidden="false" outlineLevel="0" max="16" min="16" style="10" width="7.71"/>
    <col collapsed="false" customWidth="true" hidden="false" outlineLevel="0" max="17" min="17" style="10" width="10.71"/>
    <col collapsed="false" customWidth="true" hidden="false" outlineLevel="0" max="18" min="18" style="10" width="20.71"/>
    <col collapsed="false" customWidth="true" hidden="false" outlineLevel="0" max="19" min="19" style="10" width="12"/>
    <col collapsed="false" customWidth="true" hidden="false" outlineLevel="0" max="20" min="20" style="10" width="13.57"/>
    <col collapsed="false" customWidth="true" hidden="false" outlineLevel="0" max="21" min="21" style="10" width="19.14"/>
    <col collapsed="false" customWidth="true" hidden="false" outlineLevel="0" max="22" min="22" style="10" width="12"/>
  </cols>
  <sheetData>
    <row r="1" customFormat="false" ht="14.25" hidden="false" customHeight="true" outlineLevel="0" collapsed="false">
      <c r="A1" s="120" t="s">
        <v>1088</v>
      </c>
      <c r="B1" s="120"/>
      <c r="C1" s="120"/>
      <c r="D1" s="120"/>
      <c r="E1" s="120"/>
      <c r="F1" s="120"/>
    </row>
    <row r="2" customFormat="false" ht="14.25" hidden="false" customHeight="true" outlineLevel="0" collapsed="false">
      <c r="A2" s="121" t="s">
        <v>1060</v>
      </c>
      <c r="B2" s="17" t="s">
        <v>1061</v>
      </c>
      <c r="C2" s="17" t="s">
        <v>1062</v>
      </c>
      <c r="D2" s="17" t="s">
        <v>1063</v>
      </c>
      <c r="E2" s="17" t="s">
        <v>1064</v>
      </c>
      <c r="F2" s="17" t="s">
        <v>1065</v>
      </c>
      <c r="G2" s="17" t="s">
        <v>1066</v>
      </c>
      <c r="H2" s="17" t="s">
        <v>1067</v>
      </c>
      <c r="I2" s="17" t="s">
        <v>1071</v>
      </c>
      <c r="J2" s="17" t="s">
        <v>1072</v>
      </c>
      <c r="K2" s="122" t="s">
        <v>1073</v>
      </c>
      <c r="L2" s="122" t="s">
        <v>1074</v>
      </c>
      <c r="M2" s="122" t="s">
        <v>1075</v>
      </c>
      <c r="N2" s="17" t="s">
        <v>1076</v>
      </c>
      <c r="O2" s="17" t="s">
        <v>1073</v>
      </c>
      <c r="P2" s="122" t="s">
        <v>1089</v>
      </c>
      <c r="Q2" s="122" t="s">
        <v>1075</v>
      </c>
      <c r="R2" s="17" t="s">
        <v>1076</v>
      </c>
      <c r="S2" s="17" t="s">
        <v>1073</v>
      </c>
      <c r="T2" s="17" t="s">
        <v>1077</v>
      </c>
      <c r="U2" s="17" t="s">
        <v>1078</v>
      </c>
      <c r="V2" s="17" t="s">
        <v>1073</v>
      </c>
    </row>
    <row r="3" customFormat="false" ht="14.25" hidden="false" customHeight="true" outlineLevel="0" collapsed="false">
      <c r="A3" s="121" t="s">
        <v>1090</v>
      </c>
      <c r="B3" s="17" t="s">
        <v>1080</v>
      </c>
      <c r="C3" s="123" t="n">
        <v>0.25</v>
      </c>
      <c r="D3" s="123" t="n">
        <v>0.4</v>
      </c>
      <c r="E3" s="123" t="n">
        <v>78</v>
      </c>
      <c r="F3" s="123" t="n">
        <v>0.15</v>
      </c>
      <c r="G3" s="17" t="n">
        <f aca="false">((C3+0.2)+(D3-F3)*2)*E3</f>
        <v>74.1</v>
      </c>
      <c r="H3" s="17" t="n">
        <f aca="false">C3*(D3-F3)*E3</f>
        <v>4.875</v>
      </c>
      <c r="I3" s="123" t="n">
        <v>16</v>
      </c>
      <c r="J3" s="123" t="n">
        <v>6</v>
      </c>
      <c r="K3" s="17" t="n">
        <f aca="false">J3*E3*'rebar weight'!G4</f>
        <v>738.504</v>
      </c>
      <c r="L3" s="123" t="n">
        <v>8</v>
      </c>
      <c r="M3" s="123" t="n">
        <v>1.2</v>
      </c>
      <c r="N3" s="125" t="n">
        <f aca="false">E3/0.15</f>
        <v>520</v>
      </c>
      <c r="O3" s="125" t="n">
        <f aca="false">M3*N3*'rebar weight'!C4</f>
        <v>246.48</v>
      </c>
      <c r="P3" s="123" t="n">
        <v>0</v>
      </c>
      <c r="Q3" s="123" t="n">
        <v>0</v>
      </c>
      <c r="R3" s="124" t="n">
        <f aca="false">E3/0.15</f>
        <v>520</v>
      </c>
      <c r="S3" s="125" t="n">
        <f aca="false">0.395*Q3*R3</f>
        <v>0</v>
      </c>
      <c r="T3" s="123" t="n">
        <v>0</v>
      </c>
      <c r="U3" s="123" t="n">
        <v>0</v>
      </c>
      <c r="V3" s="17" t="n">
        <f aca="false">'rebar weight'!E3*U3*E3</f>
        <v>0</v>
      </c>
    </row>
    <row r="4" customFormat="false" ht="14.25" hidden="false" customHeight="true" outlineLevel="0" collapsed="false">
      <c r="A4" s="121" t="s">
        <v>1090</v>
      </c>
      <c r="B4" s="17" t="s">
        <v>1081</v>
      </c>
      <c r="C4" s="123" t="n">
        <v>0.25</v>
      </c>
      <c r="D4" s="123" t="n">
        <v>0.5</v>
      </c>
      <c r="E4" s="123" t="n">
        <v>28</v>
      </c>
      <c r="F4" s="123" t="n">
        <v>0.15</v>
      </c>
      <c r="G4" s="17" t="n">
        <f aca="false">((C4+0.2)+(D4-F4)*2)*E4</f>
        <v>32.2</v>
      </c>
      <c r="H4" s="17" t="n">
        <f aca="false">C4*(D4-F4)*E4</f>
        <v>2.45</v>
      </c>
      <c r="I4" s="123" t="n">
        <v>16</v>
      </c>
      <c r="J4" s="123" t="n">
        <v>10</v>
      </c>
      <c r="K4" s="17" t="n">
        <f aca="false">'rebar weight'!G4*J4*E4</f>
        <v>441.84</v>
      </c>
      <c r="L4" s="123" t="n">
        <v>8</v>
      </c>
      <c r="M4" s="123" t="n">
        <f aca="false">1.4</f>
        <v>1.4</v>
      </c>
      <c r="N4" s="125" t="n">
        <f aca="false">E4/0.15</f>
        <v>186.666666666667</v>
      </c>
      <c r="O4" s="125" t="n">
        <f aca="false">0.395*M4*N4</f>
        <v>103.226666666667</v>
      </c>
      <c r="P4" s="123" t="n">
        <v>8</v>
      </c>
      <c r="Q4" s="123" t="n">
        <f aca="false">0.4</f>
        <v>0.4</v>
      </c>
      <c r="R4" s="124" t="n">
        <f aca="false">E4/0.15</f>
        <v>186.666666666667</v>
      </c>
      <c r="S4" s="125" t="n">
        <f aca="false">0.395*Q4*R4</f>
        <v>29.4933333333333</v>
      </c>
      <c r="T4" s="123" t="n">
        <v>12</v>
      </c>
      <c r="U4" s="123" t="n">
        <v>2</v>
      </c>
      <c r="V4" s="17" t="n">
        <f aca="false">'rebar weight'!E4*U4*E4</f>
        <v>49.728</v>
      </c>
    </row>
    <row r="5" customFormat="false" ht="14.25" hidden="false" customHeight="true" outlineLevel="0" collapsed="false">
      <c r="A5" s="121" t="s">
        <v>1090</v>
      </c>
      <c r="B5" s="17" t="s">
        <v>1082</v>
      </c>
      <c r="C5" s="123" t="n">
        <v>0.3</v>
      </c>
      <c r="D5" s="123" t="n">
        <v>0.5</v>
      </c>
      <c r="E5" s="123" t="n">
        <v>16.35</v>
      </c>
      <c r="F5" s="123" t="n">
        <v>0.15</v>
      </c>
      <c r="G5" s="17" t="n">
        <f aca="false">((C5+0.2)+(D5-F5)*2)*E5</f>
        <v>19.62</v>
      </c>
      <c r="H5" s="17" t="n">
        <f aca="false">C5*(D5-F5)*E5</f>
        <v>1.71675</v>
      </c>
      <c r="I5" s="123" t="n">
        <v>20</v>
      </c>
      <c r="J5" s="123" t="n">
        <v>10</v>
      </c>
      <c r="K5" s="17" t="n">
        <f aca="false">'rebar weight'!H4*J5*E5</f>
        <v>403.191</v>
      </c>
      <c r="L5" s="123" t="n">
        <v>8</v>
      </c>
      <c r="M5" s="123" t="n">
        <f aca="false">1.5</f>
        <v>1.5</v>
      </c>
      <c r="N5" s="125" t="n">
        <f aca="false">E5/0.15</f>
        <v>109</v>
      </c>
      <c r="O5" s="125" t="n">
        <f aca="false">'rebar weight'!C4*M5*N5</f>
        <v>64.5825</v>
      </c>
      <c r="P5" s="123" t="n">
        <v>8</v>
      </c>
      <c r="Q5" s="123" t="n">
        <f aca="false">0.64+0.5</f>
        <v>1.14</v>
      </c>
      <c r="R5" s="124" t="n">
        <f aca="false">E5/0.15</f>
        <v>109</v>
      </c>
      <c r="S5" s="125" t="n">
        <f aca="false">0.395*Q5*R5</f>
        <v>49.0827</v>
      </c>
      <c r="T5" s="123" t="n">
        <v>12</v>
      </c>
      <c r="U5" s="123" t="n">
        <v>2</v>
      </c>
      <c r="V5" s="17" t="n">
        <f aca="false">0.888*U5*E5</f>
        <v>29.0376</v>
      </c>
    </row>
    <row r="6" customFormat="false" ht="14.25" hidden="false" customHeight="true" outlineLevel="0" collapsed="false">
      <c r="A6" s="121" t="s">
        <v>1090</v>
      </c>
      <c r="B6" s="17" t="s">
        <v>1083</v>
      </c>
      <c r="C6" s="123" t="n">
        <v>0.3</v>
      </c>
      <c r="D6" s="123" t="n">
        <v>0.6</v>
      </c>
      <c r="E6" s="123" t="n">
        <v>0</v>
      </c>
      <c r="F6" s="123" t="n">
        <v>0.15</v>
      </c>
      <c r="G6" s="17" t="n">
        <f aca="false">((C6+0.2)+(D6-F6)*2)*E6</f>
        <v>0</v>
      </c>
      <c r="H6" s="17" t="n">
        <f aca="false">C6*(D6-F6)*E6</f>
        <v>0</v>
      </c>
      <c r="I6" s="123" t="n">
        <v>20</v>
      </c>
      <c r="J6" s="123" t="n">
        <v>10</v>
      </c>
      <c r="K6" s="17" t="n">
        <f aca="false">2.466*J6*E6</f>
        <v>0</v>
      </c>
      <c r="L6" s="123" t="n">
        <v>10</v>
      </c>
      <c r="M6" s="123" t="n">
        <f aca="false">1.6+0.75+0.5+0.5</f>
        <v>3.35</v>
      </c>
      <c r="N6" s="125" t="n">
        <f aca="false">E6/0.15</f>
        <v>0</v>
      </c>
      <c r="O6" s="125" t="n">
        <f aca="false">0.617*M6*N6</f>
        <v>0</v>
      </c>
      <c r="P6" s="123" t="n">
        <v>10</v>
      </c>
      <c r="Q6" s="123" t="n">
        <f aca="false">1.6+0.75+0.5+0.5</f>
        <v>3.35</v>
      </c>
      <c r="R6" s="124" t="n">
        <f aca="false">E6/0.15</f>
        <v>0</v>
      </c>
      <c r="S6" s="125" t="n">
        <f aca="false">0.617*Q6*R6</f>
        <v>0</v>
      </c>
      <c r="T6" s="123" t="n">
        <v>12</v>
      </c>
      <c r="U6" s="123" t="n">
        <v>2</v>
      </c>
      <c r="V6" s="17" t="n">
        <f aca="false">0.888*U6*E6</f>
        <v>0</v>
      </c>
    </row>
    <row r="7" customFormat="false" ht="14.25" hidden="false" customHeight="true" outlineLevel="0" collapsed="false">
      <c r="A7" s="121" t="s">
        <v>1090</v>
      </c>
      <c r="B7" s="17" t="s">
        <v>1084</v>
      </c>
      <c r="C7" s="123" t="n">
        <v>0.4</v>
      </c>
      <c r="D7" s="123" t="n">
        <v>0.6</v>
      </c>
      <c r="E7" s="123" t="n">
        <v>42</v>
      </c>
      <c r="F7" s="123" t="n">
        <v>0.15</v>
      </c>
      <c r="G7" s="17" t="n">
        <f aca="false">((C7+0.2)+(D7-F7)*2)*E7</f>
        <v>63</v>
      </c>
      <c r="H7" s="17" t="n">
        <f aca="false">C7*(D7-F7)*E7</f>
        <v>7.56</v>
      </c>
      <c r="I7" s="123" t="n">
        <v>20</v>
      </c>
      <c r="J7" s="123" t="n">
        <v>16</v>
      </c>
      <c r="K7" s="17" t="n">
        <f aca="false">'rebar weight'!H4*J7*E7</f>
        <v>1657.152</v>
      </c>
      <c r="L7" s="123" t="n">
        <v>10</v>
      </c>
      <c r="M7" s="123" t="n">
        <f aca="false">2+1.5</f>
        <v>3.5</v>
      </c>
      <c r="N7" s="125" t="n">
        <f aca="false">E7/0.15</f>
        <v>280</v>
      </c>
      <c r="O7" s="125" t="n">
        <f aca="false">0.617*M7*N7</f>
        <v>604.66</v>
      </c>
      <c r="P7" s="123" t="n">
        <v>10</v>
      </c>
      <c r="Q7" s="123" t="n">
        <f aca="false">0.6+0.6</f>
        <v>1.2</v>
      </c>
      <c r="R7" s="124" t="n">
        <f aca="false">E7/0.3</f>
        <v>140</v>
      </c>
      <c r="S7" s="125" t="n">
        <f aca="false">0.617*Q7*R7</f>
        <v>103.656</v>
      </c>
      <c r="T7" s="123" t="n">
        <v>16</v>
      </c>
      <c r="U7" s="123" t="n">
        <v>2</v>
      </c>
      <c r="V7" s="17" t="n">
        <f aca="false">'rebar weight'!G4*U7*E7</f>
        <v>132.552</v>
      </c>
    </row>
    <row r="8" customFormat="false" ht="14.25" hidden="false" customHeight="true" outlineLevel="0" collapsed="false">
      <c r="A8" s="121" t="s">
        <v>1090</v>
      </c>
      <c r="B8" s="17" t="s">
        <v>1085</v>
      </c>
      <c r="C8" s="123" t="n">
        <v>0.4</v>
      </c>
      <c r="D8" s="123" t="n">
        <v>0.7</v>
      </c>
      <c r="E8" s="123" t="n">
        <v>65</v>
      </c>
      <c r="F8" s="123" t="n">
        <v>0.15</v>
      </c>
      <c r="G8" s="17" t="n">
        <f aca="false">((C8+0.2)+(D8-F8)*2)*E8</f>
        <v>110.5</v>
      </c>
      <c r="H8" s="17" t="n">
        <f aca="false">C8*(D8-F8)*E8</f>
        <v>14.3</v>
      </c>
      <c r="I8" s="123" t="n">
        <v>25</v>
      </c>
      <c r="J8" s="123" t="n">
        <v>16</v>
      </c>
      <c r="K8" s="17" t="n">
        <f aca="false">'rebar weight'!I4*J8*E8</f>
        <v>4007.12</v>
      </c>
      <c r="L8" s="123" t="n">
        <v>10</v>
      </c>
      <c r="M8" s="123" t="n">
        <f aca="false">2+1.5</f>
        <v>3.5</v>
      </c>
      <c r="N8" s="125" t="n">
        <f aca="false">E8/0.15</f>
        <v>433.333333333333</v>
      </c>
      <c r="O8" s="125" t="n">
        <f aca="false">0.617*M8*N8</f>
        <v>935.783333333333</v>
      </c>
      <c r="P8" s="123" t="n">
        <v>10</v>
      </c>
      <c r="Q8" s="123" t="n">
        <f aca="false">0.6+0.6</f>
        <v>1.2</v>
      </c>
      <c r="R8" s="124" t="n">
        <f aca="false">E8/0.3</f>
        <v>216.666666666667</v>
      </c>
      <c r="S8" s="125" t="n">
        <f aca="false">0.617*Q8*R8</f>
        <v>160.42</v>
      </c>
      <c r="T8" s="123" t="n">
        <v>16</v>
      </c>
      <c r="U8" s="123" t="n">
        <v>2</v>
      </c>
      <c r="V8" s="17" t="n">
        <f aca="false">'rebar weight'!G4*U8*E8</f>
        <v>205.14</v>
      </c>
    </row>
    <row r="9" customFormat="false" ht="14.25" hidden="false" customHeight="true" outlineLevel="0" collapsed="false">
      <c r="A9" s="121" t="s">
        <v>1090</v>
      </c>
      <c r="B9" s="17" t="s">
        <v>1086</v>
      </c>
      <c r="C9" s="123" t="n">
        <v>0.2</v>
      </c>
      <c r="D9" s="123" t="n">
        <v>0.4</v>
      </c>
      <c r="E9" s="123" t="n">
        <v>0</v>
      </c>
      <c r="F9" s="123" t="n">
        <v>0.15</v>
      </c>
      <c r="G9" s="17" t="n">
        <f aca="false">((C9+0.2)+(D9-F9)*2)*E9</f>
        <v>0</v>
      </c>
      <c r="H9" s="17" t="n">
        <f aca="false">C9*(D9-F9)*E9</f>
        <v>0</v>
      </c>
      <c r="I9" s="123" t="n">
        <v>0</v>
      </c>
      <c r="J9" s="123" t="n">
        <v>0</v>
      </c>
      <c r="K9" s="17" t="n">
        <f aca="false">2.466*J9*E9</f>
        <v>0</v>
      </c>
      <c r="L9" s="123"/>
      <c r="M9" s="123"/>
      <c r="N9" s="125" t="n">
        <f aca="false">E9/0.15</f>
        <v>0</v>
      </c>
      <c r="O9" s="125" t="n">
        <f aca="false">0.617*M9*N9</f>
        <v>0</v>
      </c>
      <c r="P9" s="123"/>
      <c r="Q9" s="123"/>
      <c r="R9" s="124" t="n">
        <f aca="false">E9/0.15</f>
        <v>0</v>
      </c>
      <c r="S9" s="125" t="n">
        <f aca="false">0.617*Q9*R9</f>
        <v>0</v>
      </c>
      <c r="T9" s="123"/>
      <c r="U9" s="123"/>
      <c r="V9" s="17" t="n">
        <f aca="false">1.578*U9*E9</f>
        <v>0</v>
      </c>
    </row>
    <row r="10" customFormat="false" ht="14.25" hidden="false" customHeight="true" outlineLevel="0" collapsed="false">
      <c r="A10" s="121" t="s">
        <v>1090</v>
      </c>
      <c r="B10" s="17" t="s">
        <v>1087</v>
      </c>
      <c r="C10" s="123" t="n">
        <v>0.4</v>
      </c>
      <c r="D10" s="123" t="n">
        <v>0.7</v>
      </c>
      <c r="E10" s="123" t="n">
        <v>9.1</v>
      </c>
      <c r="F10" s="123" t="n">
        <v>0.15</v>
      </c>
      <c r="G10" s="17" t="n">
        <f aca="false">((C10+0.2)+(D10-F10)*2)*E10</f>
        <v>15.47</v>
      </c>
      <c r="H10" s="17" t="n">
        <f aca="false">C10*(D10-F10)*E10</f>
        <v>2.002</v>
      </c>
      <c r="I10" s="123" t="n">
        <v>25</v>
      </c>
      <c r="J10" s="123" t="n">
        <v>16</v>
      </c>
      <c r="K10" s="17" t="n">
        <f aca="false">'rebar weight'!I4*J10*E10</f>
        <v>560.9968</v>
      </c>
      <c r="L10" s="123" t="n">
        <v>12</v>
      </c>
      <c r="M10" s="123" t="n">
        <f aca="false">2.2+1.7</f>
        <v>3.9</v>
      </c>
      <c r="N10" s="125" t="n">
        <f aca="false">E10/0.15</f>
        <v>60.6666666666667</v>
      </c>
      <c r="O10" s="125" t="n">
        <f aca="false">'rebar weight'!E4*M10*N10</f>
        <v>210.1008</v>
      </c>
      <c r="P10" s="123" t="n">
        <v>10</v>
      </c>
      <c r="Q10" s="123" t="n">
        <f aca="false">0.55+0.55+0.55</f>
        <v>1.65</v>
      </c>
      <c r="R10" s="124" t="n">
        <f aca="false">E10/0.3</f>
        <v>30.3333333333333</v>
      </c>
      <c r="S10" s="125" t="n">
        <f aca="false">'rebar weight'!D4*Q10*R10</f>
        <v>30.88085</v>
      </c>
      <c r="T10" s="123" t="n">
        <v>16</v>
      </c>
      <c r="U10" s="123" t="n">
        <v>4</v>
      </c>
      <c r="V10" s="17" t="n">
        <f aca="false">'rebar weight'!G4*U10*E10</f>
        <v>57.4392</v>
      </c>
    </row>
    <row r="11" customFormat="false" ht="14.25" hidden="false" customHeight="true" outlineLevel="0" collapsed="false">
      <c r="G11" s="10" t="n">
        <f aca="false">SUM(G3:G10)</f>
        <v>314.89</v>
      </c>
      <c r="H11" s="10" t="n">
        <f aca="false">SUM(H3:H10)</f>
        <v>32.90375</v>
      </c>
    </row>
    <row r="14" customFormat="false" ht="14.25" hidden="false" customHeight="true" outlineLevel="0" collapsed="false">
      <c r="I14" s="10" t="n">
        <v>8</v>
      </c>
      <c r="J14" s="126" t="n">
        <f aca="false">O3+O4+O5+S3+S4+S5</f>
        <v>492.8652</v>
      </c>
      <c r="K14" s="126" t="n">
        <f aca="false">J14/$H$11</f>
        <v>14.9789978345933</v>
      </c>
    </row>
    <row r="15" customFormat="false" ht="14.25" hidden="false" customHeight="true" outlineLevel="0" collapsed="false">
      <c r="I15" s="10" t="n">
        <v>10</v>
      </c>
      <c r="J15" s="126" t="n">
        <f aca="false">O6+O7+O8+R6+R7+R8+R9+R10</f>
        <v>1927.44333333333</v>
      </c>
      <c r="K15" s="126" t="n">
        <f aca="false">J15/$H$11</f>
        <v>58.578226899163</v>
      </c>
    </row>
    <row r="16" customFormat="false" ht="14.25" hidden="false" customHeight="true" outlineLevel="0" collapsed="false">
      <c r="I16" s="10" t="n">
        <v>12</v>
      </c>
      <c r="J16" s="126" t="n">
        <f aca="false">O10+V4+V5+V6</f>
        <v>288.8664</v>
      </c>
      <c r="K16" s="126" t="n">
        <f aca="false">J16/$H$11</f>
        <v>8.77913307753675</v>
      </c>
    </row>
    <row r="17" customFormat="false" ht="14.25" hidden="false" customHeight="true" outlineLevel="0" collapsed="false">
      <c r="I17" s="10" t="n">
        <v>16</v>
      </c>
      <c r="J17" s="126" t="n">
        <f aca="false">K3+K4+V7+V8+V10</f>
        <v>1575.4752</v>
      </c>
      <c r="K17" s="126" t="n">
        <f aca="false">J17/$H$11</f>
        <v>47.8813265965126</v>
      </c>
    </row>
    <row r="18" customFormat="false" ht="14.25" hidden="false" customHeight="true" outlineLevel="0" collapsed="false">
      <c r="I18" s="10" t="n">
        <v>20</v>
      </c>
      <c r="J18" s="126" t="n">
        <f aca="false">K5+K6+K7</f>
        <v>2060.343</v>
      </c>
      <c r="K18" s="126" t="n">
        <f aca="false">J18/$H$11</f>
        <v>62.6172700680014</v>
      </c>
    </row>
    <row r="19" customFormat="false" ht="14.25" hidden="false" customHeight="true" outlineLevel="0" collapsed="false">
      <c r="I19" s="10" t="n">
        <v>25</v>
      </c>
      <c r="J19" s="126" t="n">
        <f aca="false">K8+K10</f>
        <v>4568.1168</v>
      </c>
      <c r="K19" s="126" t="n">
        <f aca="false">J19/$H$11</f>
        <v>138.832710557307</v>
      </c>
    </row>
    <row r="20" customFormat="false" ht="14.25" hidden="false" customHeight="true" outlineLevel="0" collapsed="false">
      <c r="J20" s="126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24" activeCellId="0" sqref="H24"/>
    </sheetView>
  </sheetViews>
  <sheetFormatPr defaultColWidth="8.71484375" defaultRowHeight="15" zeroHeight="false" outlineLevelRow="0" outlineLevelCol="0"/>
  <cols>
    <col collapsed="false" customWidth="true" hidden="false" outlineLevel="0" max="1" min="1" style="118" width="9.14"/>
    <col collapsed="false" customWidth="true" hidden="false" outlineLevel="0" max="2" min="2" style="10" width="12.57"/>
    <col collapsed="false" customWidth="true" hidden="false" outlineLevel="0" max="3" min="3" style="10" width="15.29"/>
    <col collapsed="false" customWidth="true" hidden="false" outlineLevel="0" max="4" min="4" style="10" width="16"/>
    <col collapsed="false" customWidth="true" hidden="false" outlineLevel="0" max="5" min="5" style="10" width="17.29"/>
    <col collapsed="false" customWidth="true" hidden="false" outlineLevel="0" max="6" min="6" style="10" width="19.42"/>
    <col collapsed="false" customWidth="true" hidden="false" outlineLevel="0" max="7" min="7" style="10" width="15.71"/>
    <col collapsed="false" customWidth="true" hidden="false" outlineLevel="0" max="8" min="8" style="10" width="14.57"/>
    <col collapsed="false" customWidth="true" hidden="false" outlineLevel="0" max="9" min="9" style="10" width="14.42"/>
    <col collapsed="false" customWidth="true" hidden="false" outlineLevel="0" max="10" min="10" style="10" width="19.86"/>
    <col collapsed="false" customWidth="true" hidden="false" outlineLevel="0" max="11" min="11" style="10" width="12"/>
    <col collapsed="false" customWidth="true" hidden="false" outlineLevel="0" max="12" min="12" style="10" width="7.71"/>
    <col collapsed="false" customWidth="true" hidden="false" outlineLevel="0" max="13" min="13" style="10" width="10.71"/>
    <col collapsed="false" customWidth="true" hidden="false" outlineLevel="0" max="14" min="14" style="10" width="20.71"/>
    <col collapsed="false" customWidth="true" hidden="false" outlineLevel="0" max="15" min="15" style="10" width="13"/>
    <col collapsed="false" customWidth="true" hidden="false" outlineLevel="0" max="16" min="16" style="10" width="7.71"/>
    <col collapsed="false" customWidth="true" hidden="false" outlineLevel="0" max="17" min="17" style="10" width="10.71"/>
    <col collapsed="false" customWidth="true" hidden="false" outlineLevel="0" max="18" min="18" style="10" width="20.71"/>
    <col collapsed="false" customWidth="true" hidden="false" outlineLevel="0" max="19" min="19" style="10" width="12"/>
    <col collapsed="false" customWidth="true" hidden="false" outlineLevel="0" max="20" min="20" style="10" width="13.57"/>
    <col collapsed="false" customWidth="true" hidden="false" outlineLevel="0" max="21" min="21" style="10" width="19.14"/>
    <col collapsed="false" customWidth="true" hidden="false" outlineLevel="0" max="22" min="22" style="10" width="12"/>
  </cols>
  <sheetData>
    <row r="1" customFormat="false" ht="14.25" hidden="false" customHeight="true" outlineLevel="0" collapsed="false">
      <c r="A1" s="120" t="s">
        <v>1088</v>
      </c>
      <c r="B1" s="120"/>
      <c r="C1" s="120"/>
      <c r="D1" s="120"/>
      <c r="E1" s="120"/>
      <c r="F1" s="120"/>
    </row>
    <row r="2" customFormat="false" ht="14.25" hidden="false" customHeight="true" outlineLevel="0" collapsed="false">
      <c r="A2" s="121" t="s">
        <v>1060</v>
      </c>
      <c r="B2" s="17" t="s">
        <v>1061</v>
      </c>
      <c r="C2" s="17" t="s">
        <v>1062</v>
      </c>
      <c r="D2" s="17" t="s">
        <v>1063</v>
      </c>
      <c r="E2" s="17" t="s">
        <v>1064</v>
      </c>
      <c r="F2" s="17" t="s">
        <v>1065</v>
      </c>
      <c r="G2" s="17" t="s">
        <v>1066</v>
      </c>
      <c r="H2" s="17" t="s">
        <v>1067</v>
      </c>
      <c r="I2" s="17" t="s">
        <v>1071</v>
      </c>
      <c r="J2" s="17" t="s">
        <v>1072</v>
      </c>
      <c r="K2" s="122" t="s">
        <v>1073</v>
      </c>
      <c r="L2" s="122" t="s">
        <v>1074</v>
      </c>
      <c r="M2" s="122" t="s">
        <v>1075</v>
      </c>
      <c r="N2" s="17" t="s">
        <v>1076</v>
      </c>
      <c r="O2" s="17" t="s">
        <v>1073</v>
      </c>
      <c r="P2" s="122" t="s">
        <v>1089</v>
      </c>
      <c r="Q2" s="122" t="s">
        <v>1075</v>
      </c>
      <c r="R2" s="17" t="s">
        <v>1076</v>
      </c>
      <c r="S2" s="17" t="s">
        <v>1073</v>
      </c>
      <c r="T2" s="17" t="s">
        <v>1077</v>
      </c>
      <c r="U2" s="17" t="s">
        <v>1078</v>
      </c>
      <c r="V2" s="17" t="s">
        <v>1073</v>
      </c>
    </row>
    <row r="3" customFormat="false" ht="14.25" hidden="false" customHeight="true" outlineLevel="0" collapsed="false">
      <c r="A3" s="121" t="s">
        <v>1090</v>
      </c>
      <c r="B3" s="17" t="s">
        <v>1080</v>
      </c>
      <c r="C3" s="123" t="n">
        <v>0.25</v>
      </c>
      <c r="D3" s="123" t="n">
        <v>0.4</v>
      </c>
      <c r="E3" s="123" t="n">
        <v>12</v>
      </c>
      <c r="F3" s="123" t="n">
        <v>0.15</v>
      </c>
      <c r="G3" s="17" t="n">
        <f aca="false">((C3+0.2)+(D3-F3)*2)*E3</f>
        <v>11.4</v>
      </c>
      <c r="H3" s="17" t="n">
        <f aca="false">C3*(D3-F3)*E3</f>
        <v>0.75</v>
      </c>
      <c r="I3" s="123" t="n">
        <v>16</v>
      </c>
      <c r="J3" s="123" t="n">
        <v>6</v>
      </c>
      <c r="K3" s="17" t="n">
        <f aca="false">J3*E3*'rebar weight'!G4</f>
        <v>113.616</v>
      </c>
      <c r="L3" s="123" t="n">
        <v>8</v>
      </c>
      <c r="M3" s="123" t="n">
        <v>1.2</v>
      </c>
      <c r="N3" s="125" t="n">
        <f aca="false">E3/0.15</f>
        <v>80</v>
      </c>
      <c r="O3" s="125" t="n">
        <f aca="false">M3*N3*'rebar weight'!C4</f>
        <v>37.92</v>
      </c>
      <c r="P3" s="123" t="n">
        <v>0</v>
      </c>
      <c r="Q3" s="123" t="n">
        <v>0</v>
      </c>
      <c r="R3" s="124" t="n">
        <f aca="false">E3/0.15</f>
        <v>80</v>
      </c>
      <c r="S3" s="125" t="n">
        <f aca="false">0.395*Q3*R3</f>
        <v>0</v>
      </c>
      <c r="T3" s="123" t="n">
        <v>0</v>
      </c>
      <c r="U3" s="123" t="n">
        <v>0</v>
      </c>
      <c r="V3" s="17" t="n">
        <f aca="false">'rebar weight'!E3*U3*E3</f>
        <v>0</v>
      </c>
    </row>
    <row r="4" customFormat="false" ht="14.25" hidden="false" customHeight="true" outlineLevel="0" collapsed="false">
      <c r="A4" s="121" t="s">
        <v>1090</v>
      </c>
      <c r="B4" s="17" t="s">
        <v>1081</v>
      </c>
      <c r="C4" s="123" t="n">
        <v>0.25</v>
      </c>
      <c r="D4" s="123" t="n">
        <v>0.5</v>
      </c>
      <c r="E4" s="123" t="n">
        <v>0</v>
      </c>
      <c r="F4" s="123" t="n">
        <v>0.15</v>
      </c>
      <c r="G4" s="17" t="n">
        <f aca="false">((C4+0.2)+(D4-F4)*2)*E4</f>
        <v>0</v>
      </c>
      <c r="H4" s="17" t="n">
        <f aca="false">C4*(D4-F4)*E4</f>
        <v>0</v>
      </c>
      <c r="I4" s="123" t="n">
        <v>16</v>
      </c>
      <c r="J4" s="123" t="n">
        <v>10</v>
      </c>
      <c r="K4" s="17" t="n">
        <f aca="false">'rebar weight'!G4*J4*E4</f>
        <v>0</v>
      </c>
      <c r="L4" s="123" t="n">
        <v>8</v>
      </c>
      <c r="M4" s="123" t="n">
        <f aca="false">1.4</f>
        <v>1.4</v>
      </c>
      <c r="N4" s="125" t="n">
        <f aca="false">E4/0.15</f>
        <v>0</v>
      </c>
      <c r="O4" s="125" t="n">
        <f aca="false">0.395*M4*N4</f>
        <v>0</v>
      </c>
      <c r="P4" s="123" t="n">
        <v>8</v>
      </c>
      <c r="Q4" s="123" t="n">
        <f aca="false">0.4</f>
        <v>0.4</v>
      </c>
      <c r="R4" s="124" t="n">
        <f aca="false">E4/0.15</f>
        <v>0</v>
      </c>
      <c r="S4" s="125" t="n">
        <f aca="false">0.395*Q4*R4</f>
        <v>0</v>
      </c>
      <c r="T4" s="123" t="n">
        <v>12</v>
      </c>
      <c r="U4" s="123" t="n">
        <v>2</v>
      </c>
      <c r="V4" s="17" t="n">
        <f aca="false">'rebar weight'!E4*U4*E4</f>
        <v>0</v>
      </c>
    </row>
    <row r="5" customFormat="false" ht="14.25" hidden="false" customHeight="true" outlineLevel="0" collapsed="false">
      <c r="A5" s="121" t="s">
        <v>1090</v>
      </c>
      <c r="B5" s="17" t="s">
        <v>1082</v>
      </c>
      <c r="C5" s="123" t="n">
        <v>0.3</v>
      </c>
      <c r="D5" s="123" t="n">
        <v>0.5</v>
      </c>
      <c r="E5" s="123" t="n">
        <v>10</v>
      </c>
      <c r="F5" s="123" t="n">
        <v>0.15</v>
      </c>
      <c r="G5" s="17" t="n">
        <f aca="false">((C5+0.2)+(D5-F5)*2)*E5</f>
        <v>12</v>
      </c>
      <c r="H5" s="17" t="n">
        <f aca="false">C5*(D5-F5)*E5</f>
        <v>1.05</v>
      </c>
      <c r="I5" s="123" t="n">
        <v>20</v>
      </c>
      <c r="J5" s="123" t="n">
        <v>10</v>
      </c>
      <c r="K5" s="17" t="n">
        <f aca="false">'rebar weight'!H4*J5*E5</f>
        <v>246.6</v>
      </c>
      <c r="L5" s="123" t="n">
        <v>8</v>
      </c>
      <c r="M5" s="123" t="n">
        <f aca="false">1.5</f>
        <v>1.5</v>
      </c>
      <c r="N5" s="125" t="n">
        <f aca="false">E5/0.15</f>
        <v>66.6666666666667</v>
      </c>
      <c r="O5" s="125" t="n">
        <f aca="false">'rebar weight'!C4*M5*N5</f>
        <v>39.5</v>
      </c>
      <c r="P5" s="123" t="n">
        <v>8</v>
      </c>
      <c r="Q5" s="123" t="n">
        <f aca="false">0.64+0.5</f>
        <v>1.14</v>
      </c>
      <c r="R5" s="124" t="n">
        <f aca="false">E5/0.15</f>
        <v>66.6666666666667</v>
      </c>
      <c r="S5" s="125" t="n">
        <f aca="false">0.395*Q5*R5</f>
        <v>30.02</v>
      </c>
      <c r="T5" s="123" t="n">
        <v>12</v>
      </c>
      <c r="U5" s="123" t="n">
        <v>2</v>
      </c>
      <c r="V5" s="17" t="n">
        <f aca="false">0.888*U5*E5</f>
        <v>17.76</v>
      </c>
    </row>
    <row r="6" customFormat="false" ht="14.25" hidden="false" customHeight="true" outlineLevel="0" collapsed="false">
      <c r="A6" s="121" t="s">
        <v>1090</v>
      </c>
      <c r="B6" s="17" t="s">
        <v>1083</v>
      </c>
      <c r="C6" s="123" t="n">
        <v>0.3</v>
      </c>
      <c r="D6" s="123" t="n">
        <v>0.6</v>
      </c>
      <c r="E6" s="123" t="n">
        <v>0</v>
      </c>
      <c r="F6" s="123" t="n">
        <v>0.15</v>
      </c>
      <c r="G6" s="17" t="n">
        <f aca="false">((C6+0.2)+(D6-F6)*2)*E6</f>
        <v>0</v>
      </c>
      <c r="H6" s="17" t="n">
        <f aca="false">C6*(D6-F6)*E6</f>
        <v>0</v>
      </c>
      <c r="I6" s="123" t="n">
        <v>20</v>
      </c>
      <c r="J6" s="123" t="n">
        <v>10</v>
      </c>
      <c r="K6" s="17" t="n">
        <f aca="false">2.466*J6*E6</f>
        <v>0</v>
      </c>
      <c r="L6" s="123" t="n">
        <v>10</v>
      </c>
      <c r="M6" s="123" t="n">
        <f aca="false">1.6+0.75+0.5+0.5</f>
        <v>3.35</v>
      </c>
      <c r="N6" s="125" t="n">
        <f aca="false">E6/0.15</f>
        <v>0</v>
      </c>
      <c r="O6" s="125" t="n">
        <f aca="false">0.617*M6*N6</f>
        <v>0</v>
      </c>
      <c r="P6" s="123" t="n">
        <v>10</v>
      </c>
      <c r="Q6" s="123" t="n">
        <f aca="false">1.6+0.75+0.5+0.5</f>
        <v>3.35</v>
      </c>
      <c r="R6" s="124" t="n">
        <f aca="false">E6/0.15</f>
        <v>0</v>
      </c>
      <c r="S6" s="125" t="n">
        <f aca="false">0.617*Q6*R6</f>
        <v>0</v>
      </c>
      <c r="T6" s="123" t="n">
        <v>12</v>
      </c>
      <c r="U6" s="123" t="n">
        <v>2</v>
      </c>
      <c r="V6" s="17" t="n">
        <f aca="false">0.888*U6*E6</f>
        <v>0</v>
      </c>
    </row>
    <row r="7" customFormat="false" ht="14.25" hidden="false" customHeight="true" outlineLevel="0" collapsed="false">
      <c r="A7" s="121" t="s">
        <v>1090</v>
      </c>
      <c r="B7" s="17" t="s">
        <v>1084</v>
      </c>
      <c r="C7" s="123" t="n">
        <v>0.4</v>
      </c>
      <c r="D7" s="123" t="n">
        <v>0.6</v>
      </c>
      <c r="E7" s="123" t="n">
        <v>9</v>
      </c>
      <c r="F7" s="123" t="n">
        <v>0.15</v>
      </c>
      <c r="G7" s="17" t="n">
        <f aca="false">((C7+0.2)+(D7-F7)*2)*E7</f>
        <v>13.5</v>
      </c>
      <c r="H7" s="17" t="n">
        <f aca="false">C7*(D7-F7)*E7</f>
        <v>1.62</v>
      </c>
      <c r="I7" s="123" t="n">
        <v>20</v>
      </c>
      <c r="J7" s="123" t="n">
        <v>16</v>
      </c>
      <c r="K7" s="17" t="n">
        <f aca="false">'rebar weight'!H4*J7*E7</f>
        <v>355.104</v>
      </c>
      <c r="L7" s="123" t="n">
        <v>10</v>
      </c>
      <c r="M7" s="123" t="n">
        <f aca="false">2+1.5</f>
        <v>3.5</v>
      </c>
      <c r="N7" s="125" t="n">
        <f aca="false">E7/0.15</f>
        <v>60</v>
      </c>
      <c r="O7" s="125" t="n">
        <f aca="false">0.617*M7*N7</f>
        <v>129.57</v>
      </c>
      <c r="P7" s="123" t="n">
        <v>10</v>
      </c>
      <c r="Q7" s="123" t="n">
        <f aca="false">0.6+0.6</f>
        <v>1.2</v>
      </c>
      <c r="R7" s="124" t="n">
        <f aca="false">E7/0.3</f>
        <v>30</v>
      </c>
      <c r="S7" s="125" t="n">
        <f aca="false">0.617*Q7*R7</f>
        <v>22.212</v>
      </c>
      <c r="T7" s="123" t="n">
        <v>16</v>
      </c>
      <c r="U7" s="123" t="n">
        <v>2</v>
      </c>
      <c r="V7" s="17" t="n">
        <f aca="false">'rebar weight'!G4*U7*E7</f>
        <v>28.404</v>
      </c>
    </row>
    <row r="8" customFormat="false" ht="14.25" hidden="false" customHeight="true" outlineLevel="0" collapsed="false">
      <c r="A8" s="121" t="s">
        <v>1090</v>
      </c>
      <c r="B8" s="17" t="s">
        <v>1085</v>
      </c>
      <c r="C8" s="123" t="n">
        <v>0.4</v>
      </c>
      <c r="D8" s="123" t="n">
        <v>0.7</v>
      </c>
      <c r="E8" s="123" t="n">
        <v>36</v>
      </c>
      <c r="F8" s="123" t="n">
        <v>0.15</v>
      </c>
      <c r="G8" s="17" t="n">
        <f aca="false">((C8+0.2)+(D8-F8)*2)*E8</f>
        <v>61.2</v>
      </c>
      <c r="H8" s="17" t="n">
        <f aca="false">C8*(D8-F8)*E8</f>
        <v>7.92</v>
      </c>
      <c r="I8" s="123" t="n">
        <v>25</v>
      </c>
      <c r="J8" s="123" t="n">
        <v>16</v>
      </c>
      <c r="K8" s="17" t="n">
        <f aca="false">'rebar weight'!I4*J8*E8</f>
        <v>2219.328</v>
      </c>
      <c r="L8" s="123" t="n">
        <v>10</v>
      </c>
      <c r="M8" s="123" t="n">
        <f aca="false">2+1.5</f>
        <v>3.5</v>
      </c>
      <c r="N8" s="125" t="n">
        <f aca="false">E8/0.15</f>
        <v>240</v>
      </c>
      <c r="O8" s="125" t="n">
        <f aca="false">0.617*M8*N8</f>
        <v>518.28</v>
      </c>
      <c r="P8" s="123" t="n">
        <v>10</v>
      </c>
      <c r="Q8" s="123" t="n">
        <f aca="false">0.6+0.6</f>
        <v>1.2</v>
      </c>
      <c r="R8" s="124" t="n">
        <f aca="false">E8/0.3</f>
        <v>120</v>
      </c>
      <c r="S8" s="125" t="n">
        <f aca="false">0.617*Q8*R8</f>
        <v>88.848</v>
      </c>
      <c r="T8" s="123" t="n">
        <v>16</v>
      </c>
      <c r="U8" s="123" t="n">
        <v>2</v>
      </c>
      <c r="V8" s="17" t="n">
        <f aca="false">'rebar weight'!G4*U8*E8</f>
        <v>113.616</v>
      </c>
    </row>
    <row r="9" customFormat="false" ht="14.25" hidden="false" customHeight="true" outlineLevel="0" collapsed="false">
      <c r="A9" s="121" t="s">
        <v>1090</v>
      </c>
      <c r="B9" s="17" t="s">
        <v>1086</v>
      </c>
      <c r="C9" s="123" t="n">
        <v>0.2</v>
      </c>
      <c r="D9" s="123" t="n">
        <v>0.4</v>
      </c>
      <c r="E9" s="123" t="n">
        <v>0</v>
      </c>
      <c r="F9" s="123" t="n">
        <v>0.15</v>
      </c>
      <c r="G9" s="17" t="n">
        <f aca="false">((C9+0.2)+(D9-F9)*2)*E9</f>
        <v>0</v>
      </c>
      <c r="H9" s="17" t="n">
        <f aca="false">C9*(D9-F9)*E9</f>
        <v>0</v>
      </c>
      <c r="I9" s="123" t="n">
        <v>0</v>
      </c>
      <c r="J9" s="123" t="n">
        <v>0</v>
      </c>
      <c r="K9" s="17" t="n">
        <f aca="false">2.466*J9*E9</f>
        <v>0</v>
      </c>
      <c r="L9" s="123"/>
      <c r="M9" s="123"/>
      <c r="N9" s="125" t="n">
        <f aca="false">E9/0.15</f>
        <v>0</v>
      </c>
      <c r="O9" s="125" t="n">
        <f aca="false">0.617*M9*N9</f>
        <v>0</v>
      </c>
      <c r="P9" s="123"/>
      <c r="Q9" s="123"/>
      <c r="R9" s="124" t="n">
        <f aca="false">E9/0.15</f>
        <v>0</v>
      </c>
      <c r="S9" s="125" t="n">
        <f aca="false">0.617*Q9*R9</f>
        <v>0</v>
      </c>
      <c r="T9" s="123"/>
      <c r="U9" s="123"/>
      <c r="V9" s="17" t="n">
        <f aca="false">1.578*U9*E9</f>
        <v>0</v>
      </c>
    </row>
    <row r="10" customFormat="false" ht="14.25" hidden="false" customHeight="true" outlineLevel="0" collapsed="false">
      <c r="A10" s="121" t="s">
        <v>1090</v>
      </c>
      <c r="B10" s="17" t="s">
        <v>1087</v>
      </c>
      <c r="C10" s="123" t="n">
        <v>0.4</v>
      </c>
      <c r="D10" s="123" t="n">
        <v>0.7</v>
      </c>
      <c r="E10" s="123" t="n">
        <v>9.1</v>
      </c>
      <c r="F10" s="123" t="n">
        <v>0.15</v>
      </c>
      <c r="G10" s="17" t="n">
        <f aca="false">((C10+0.2)+(D10-F10)*2)*E10</f>
        <v>15.47</v>
      </c>
      <c r="H10" s="17" t="n">
        <f aca="false">C10*(D10-F10)*E10</f>
        <v>2.002</v>
      </c>
      <c r="I10" s="123" t="n">
        <v>25</v>
      </c>
      <c r="J10" s="123" t="n">
        <v>16</v>
      </c>
      <c r="K10" s="17" t="n">
        <f aca="false">'rebar weight'!I4*J10*E10</f>
        <v>560.9968</v>
      </c>
      <c r="L10" s="123" t="n">
        <v>12</v>
      </c>
      <c r="M10" s="123" t="n">
        <f aca="false">2.2+1.7</f>
        <v>3.9</v>
      </c>
      <c r="N10" s="125" t="n">
        <f aca="false">E10/0.15</f>
        <v>60.6666666666667</v>
      </c>
      <c r="O10" s="125" t="n">
        <f aca="false">'rebar weight'!E4*M10*N10</f>
        <v>210.1008</v>
      </c>
      <c r="P10" s="123" t="n">
        <v>10</v>
      </c>
      <c r="Q10" s="123" t="n">
        <f aca="false">0.55+0.55+0.55</f>
        <v>1.65</v>
      </c>
      <c r="R10" s="124" t="n">
        <f aca="false">E10/0.3</f>
        <v>30.3333333333333</v>
      </c>
      <c r="S10" s="125" t="n">
        <f aca="false">'rebar weight'!D4*Q10*R10</f>
        <v>30.88085</v>
      </c>
      <c r="T10" s="123" t="n">
        <v>16</v>
      </c>
      <c r="U10" s="123" t="n">
        <v>4</v>
      </c>
      <c r="V10" s="17" t="n">
        <f aca="false">'rebar weight'!G4*U10*E10</f>
        <v>57.4392</v>
      </c>
    </row>
    <row r="11" customFormat="false" ht="14.25" hidden="false" customHeight="true" outlineLevel="0" collapsed="false">
      <c r="G11" s="10" t="n">
        <f aca="false">SUM(G3:G10)</f>
        <v>113.57</v>
      </c>
      <c r="H11" s="10" t="n">
        <f aca="false">SUM(H3:H10)</f>
        <v>13.342</v>
      </c>
    </row>
    <row r="14" customFormat="false" ht="14.25" hidden="false" customHeight="true" outlineLevel="0" collapsed="false">
      <c r="I14" s="10" t="n">
        <v>8</v>
      </c>
      <c r="J14" s="126" t="n">
        <f aca="false">O3+O4+O5+S3+S4+S5</f>
        <v>107.44</v>
      </c>
      <c r="K14" s="126" t="n">
        <f aca="false">J14/$H$11</f>
        <v>8.05276570229351</v>
      </c>
    </row>
    <row r="15" customFormat="false" ht="14.25" hidden="false" customHeight="true" outlineLevel="0" collapsed="false">
      <c r="I15" s="10" t="n">
        <v>10</v>
      </c>
      <c r="J15" s="126" t="n">
        <f aca="false">O6+O7+O8+R6+R7+R8+R9+R10</f>
        <v>828.183333333333</v>
      </c>
      <c r="K15" s="126" t="n">
        <f aca="false">J15/$H$11</f>
        <v>62.0734022885125</v>
      </c>
    </row>
    <row r="16" customFormat="false" ht="14.25" hidden="false" customHeight="true" outlineLevel="0" collapsed="false">
      <c r="I16" s="10" t="n">
        <v>12</v>
      </c>
      <c r="J16" s="126" t="n">
        <f aca="false">O10+V4+V5+V6</f>
        <v>227.8608</v>
      </c>
      <c r="K16" s="126" t="n">
        <f aca="false">J16/$H$11</f>
        <v>17.0784590016489</v>
      </c>
    </row>
    <row r="17" customFormat="false" ht="14.25" hidden="false" customHeight="true" outlineLevel="0" collapsed="false">
      <c r="I17" s="10" t="n">
        <v>16</v>
      </c>
      <c r="J17" s="126" t="n">
        <f aca="false">K3+K4+V7+V8+V10</f>
        <v>313.0752</v>
      </c>
      <c r="K17" s="126" t="n">
        <f aca="false">J17/$H$11</f>
        <v>23.4653874981262</v>
      </c>
    </row>
    <row r="18" customFormat="false" ht="14.25" hidden="false" customHeight="true" outlineLevel="0" collapsed="false">
      <c r="I18" s="10" t="n">
        <v>20</v>
      </c>
      <c r="J18" s="126" t="n">
        <f aca="false">K5+K6+K7</f>
        <v>601.704</v>
      </c>
      <c r="K18" s="126" t="n">
        <f aca="false">J18/$H$11</f>
        <v>45.0984859841103</v>
      </c>
    </row>
    <row r="19" customFormat="false" ht="14.25" hidden="false" customHeight="true" outlineLevel="0" collapsed="false">
      <c r="I19" s="10" t="n">
        <v>25</v>
      </c>
      <c r="J19" s="126" t="n">
        <f aca="false">K8+K10</f>
        <v>2780.3248</v>
      </c>
      <c r="K19" s="126" t="n">
        <f aca="false">J19/$H$11</f>
        <v>208.388907210313</v>
      </c>
    </row>
    <row r="20" customFormat="false" ht="14.25" hidden="false" customHeight="true" outlineLevel="0" collapsed="false">
      <c r="J20" s="126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71484375" defaultRowHeight="15" zeroHeight="false" outlineLevelRow="0" outlineLevelCol="0"/>
  <cols>
    <col collapsed="false" customWidth="true" hidden="false" outlineLevel="0" max="1" min="1" style="10" width="49.85"/>
    <col collapsed="false" customWidth="true" hidden="false" outlineLevel="0" max="2" min="2" style="10" width="7.16"/>
    <col collapsed="false" customWidth="true" hidden="false" outlineLevel="0" max="7" min="3" style="10" width="15.42"/>
  </cols>
  <sheetData>
    <row r="3" customFormat="false" ht="14.25" hidden="false" customHeight="true" outlineLevel="0" collapsed="false">
      <c r="A3" s="127" t="s">
        <v>33</v>
      </c>
      <c r="B3" s="128" t="s">
        <v>34</v>
      </c>
      <c r="C3" s="129" t="s">
        <v>1097</v>
      </c>
    </row>
    <row r="4" customFormat="false" ht="14.25" hidden="false" customHeight="true" outlineLevel="0" collapsed="false">
      <c r="A4" s="130" t="s">
        <v>1098</v>
      </c>
      <c r="B4" s="131" t="s">
        <v>45</v>
      </c>
      <c r="C4" s="132" t="n">
        <v>697.57</v>
      </c>
    </row>
    <row r="5" customFormat="false" ht="14.25" hidden="false" customHeight="true" outlineLevel="0" collapsed="false">
      <c r="A5" s="133" t="s">
        <v>1099</v>
      </c>
      <c r="B5" s="134" t="s">
        <v>47</v>
      </c>
      <c r="C5" s="132" t="n">
        <v>69.76</v>
      </c>
    </row>
    <row r="6" customFormat="false" ht="14.25" hidden="false" customHeight="true" outlineLevel="0" collapsed="false">
      <c r="A6" s="133" t="s">
        <v>1100</v>
      </c>
      <c r="B6" s="134" t="s">
        <v>49</v>
      </c>
      <c r="C6" s="132" t="n">
        <v>194936.967066667</v>
      </c>
    </row>
    <row r="7" customFormat="false" ht="14.25" hidden="false" customHeight="true" outlineLevel="0" collapsed="false">
      <c r="A7" s="133" t="s">
        <v>1101</v>
      </c>
      <c r="B7" s="134" t="s">
        <v>49</v>
      </c>
      <c r="C7" s="132" t="n">
        <v>69284.75888</v>
      </c>
    </row>
    <row r="8" customFormat="false" ht="14.25" hidden="false" customHeight="true" outlineLevel="0" collapsed="false">
      <c r="A8" s="133" t="s">
        <v>1102</v>
      </c>
      <c r="B8" s="134" t="s">
        <v>49</v>
      </c>
      <c r="C8" s="132" t="n">
        <v>10086.0216</v>
      </c>
    </row>
    <row r="9" customFormat="false" ht="14.25" hidden="false" customHeight="true" outlineLevel="0" collapsed="false">
      <c r="A9" s="133" t="s">
        <v>1103</v>
      </c>
      <c r="B9" s="134" t="s">
        <v>49</v>
      </c>
      <c r="C9" s="132" t="n">
        <v>40840.770432</v>
      </c>
    </row>
    <row r="10" customFormat="false" ht="14.25" hidden="false" customHeight="true" outlineLevel="0" collapsed="false">
      <c r="A10" s="133" t="s">
        <v>1104</v>
      </c>
      <c r="B10" s="134" t="s">
        <v>49</v>
      </c>
      <c r="C10" s="132" t="n">
        <v>80027.66836</v>
      </c>
    </row>
    <row r="11" customFormat="false" ht="14.25" hidden="false" customHeight="true" outlineLevel="0" collapsed="false">
      <c r="A11" s="133" t="s">
        <v>1105</v>
      </c>
      <c r="B11" s="134" t="s">
        <v>49</v>
      </c>
      <c r="C11" s="132" t="n">
        <v>152042.3416</v>
      </c>
    </row>
    <row r="12" customFormat="false" ht="14.25" hidden="false" customHeight="true" outlineLevel="0" collapsed="false">
      <c r="A12" s="133" t="s">
        <v>1106</v>
      </c>
      <c r="B12" s="134" t="s">
        <v>49</v>
      </c>
      <c r="C12" s="132" t="n">
        <v>51464.278</v>
      </c>
    </row>
    <row r="13" customFormat="false" ht="14.25" hidden="false" customHeight="true" outlineLevel="0" collapsed="false">
      <c r="A13" s="133" t="s">
        <v>153</v>
      </c>
      <c r="B13" s="134" t="s">
        <v>45</v>
      </c>
      <c r="C13" s="132" t="n">
        <v>19052.5146</v>
      </c>
    </row>
    <row r="14" customFormat="false" ht="14.25" hidden="false" customHeight="true" outlineLevel="0" collapsed="false">
      <c r="A14" s="133" t="s">
        <v>1107</v>
      </c>
      <c r="B14" s="134" t="s">
        <v>47</v>
      </c>
      <c r="C14" s="132" t="n">
        <v>53.2565</v>
      </c>
    </row>
    <row r="15" customFormat="false" ht="14.25" hidden="false" customHeight="true" outlineLevel="0" collapsed="false">
      <c r="A15" s="133" t="s">
        <v>1108</v>
      </c>
      <c r="B15" s="134" t="s">
        <v>45</v>
      </c>
      <c r="C15" s="132" t="n">
        <v>7.2695</v>
      </c>
    </row>
    <row r="16" customFormat="false" ht="14.25" hidden="false" customHeight="true" outlineLevel="0" collapsed="false">
      <c r="A16" s="133" t="s">
        <v>1109</v>
      </c>
      <c r="B16" s="134" t="s">
        <v>47</v>
      </c>
      <c r="C16" s="132" t="n">
        <v>2820.79539</v>
      </c>
    </row>
    <row r="17" customFormat="false" ht="14.25" hidden="false" customHeight="true" outlineLevel="0" collapsed="false">
      <c r="A17" s="133" t="s">
        <v>1110</v>
      </c>
      <c r="B17" s="134" t="s">
        <v>47</v>
      </c>
      <c r="C17" s="132" t="n">
        <v>374.163685042544</v>
      </c>
    </row>
    <row r="18" customFormat="false" ht="14.25" hidden="false" customHeight="true" outlineLevel="0" collapsed="false">
      <c r="A18" s="133" t="s">
        <v>1111</v>
      </c>
      <c r="B18" s="134" t="s">
        <v>1112</v>
      </c>
      <c r="C18" s="132" t="n">
        <v>5</v>
      </c>
    </row>
    <row r="19" customFormat="false" ht="14.25" hidden="false" customHeight="true" outlineLevel="0" collapsed="false">
      <c r="A19" s="133" t="s">
        <v>1113</v>
      </c>
      <c r="B19" s="134" t="s">
        <v>1112</v>
      </c>
      <c r="C19" s="132" t="n">
        <v>17</v>
      </c>
    </row>
    <row r="20" customFormat="false" ht="14.25" hidden="false" customHeight="true" outlineLevel="0" collapsed="false">
      <c r="A20" s="133" t="s">
        <v>1114</v>
      </c>
      <c r="B20" s="134" t="s">
        <v>39</v>
      </c>
      <c r="C20" s="132" t="n">
        <v>78</v>
      </c>
    </row>
    <row r="21" customFormat="false" ht="14.25" hidden="false" customHeight="true" outlineLevel="0" collapsed="false">
      <c r="A21" s="133" t="s">
        <v>1115</v>
      </c>
      <c r="B21" s="134" t="s">
        <v>1116</v>
      </c>
      <c r="C21" s="132" t="n">
        <v>1</v>
      </c>
    </row>
    <row r="22" customFormat="false" ht="14.25" hidden="false" customHeight="true" outlineLevel="0" collapsed="false">
      <c r="A22" s="133" t="s">
        <v>1117</v>
      </c>
      <c r="B22" s="134" t="s">
        <v>49</v>
      </c>
      <c r="C22" s="132" t="n">
        <v>8711.39506666667</v>
      </c>
    </row>
    <row r="23" customFormat="false" ht="14.25" hidden="false" customHeight="true" outlineLevel="0" collapsed="false">
      <c r="A23" s="133" t="s">
        <v>1118</v>
      </c>
      <c r="B23" s="134" t="s">
        <v>47</v>
      </c>
      <c r="C23" s="132" t="n">
        <v>1370.424</v>
      </c>
    </row>
    <row r="24" customFormat="false" ht="14.25" hidden="false" customHeight="true" outlineLevel="0" collapsed="false">
      <c r="A24" s="133" t="s">
        <v>1119</v>
      </c>
      <c r="B24" s="134" t="s">
        <v>1112</v>
      </c>
      <c r="C24" s="132" t="n">
        <v>5</v>
      </c>
    </row>
    <row r="25" customFormat="false" ht="14.25" hidden="false" customHeight="true" outlineLevel="0" collapsed="false">
      <c r="A25" s="133" t="s">
        <v>1120</v>
      </c>
      <c r="B25" s="134" t="s">
        <v>1112</v>
      </c>
      <c r="C25" s="132" t="n">
        <v>17</v>
      </c>
    </row>
    <row r="26" customFormat="false" ht="14.25" hidden="false" customHeight="true" outlineLevel="0" collapsed="false">
      <c r="A26" s="133" t="s">
        <v>142</v>
      </c>
      <c r="B26" s="134" t="s">
        <v>47</v>
      </c>
      <c r="C26" s="132" t="n">
        <v>1571.17</v>
      </c>
    </row>
    <row r="27" customFormat="false" ht="14.25" hidden="false" customHeight="true" outlineLevel="0" collapsed="false">
      <c r="A27" s="133" t="s">
        <v>141</v>
      </c>
      <c r="B27" s="134" t="s">
        <v>47</v>
      </c>
      <c r="C27" s="132" t="n">
        <v>1571.17</v>
      </c>
    </row>
    <row r="28" customFormat="false" ht="14.25" hidden="false" customHeight="true" outlineLevel="0" collapsed="false">
      <c r="A28" s="133" t="s">
        <v>1121</v>
      </c>
      <c r="B28" s="134" t="s">
        <v>1112</v>
      </c>
      <c r="C28" s="132" t="n">
        <v>22</v>
      </c>
    </row>
    <row r="29" customFormat="false" ht="14.25" hidden="false" customHeight="true" outlineLevel="0" collapsed="false">
      <c r="A29" s="133" t="s">
        <v>1122</v>
      </c>
      <c r="B29" s="134" t="s">
        <v>39</v>
      </c>
      <c r="C29" s="132" t="n">
        <v>2201</v>
      </c>
    </row>
    <row r="30" customFormat="false" ht="14.25" hidden="false" customHeight="true" outlineLevel="0" collapsed="false">
      <c r="A30" s="133" t="s">
        <v>1123</v>
      </c>
      <c r="B30" s="134" t="s">
        <v>49</v>
      </c>
      <c r="C30" s="132" t="n">
        <v>23645.3380082133</v>
      </c>
    </row>
    <row r="31" customFormat="false" ht="14.25" hidden="false" customHeight="true" outlineLevel="0" collapsed="false">
      <c r="A31" s="133" t="s">
        <v>146</v>
      </c>
      <c r="B31" s="134" t="s">
        <v>45</v>
      </c>
      <c r="C31" s="132" t="n">
        <v>201.43</v>
      </c>
    </row>
    <row r="32" customFormat="false" ht="14.25" hidden="false" customHeight="true" outlineLevel="0" collapsed="false">
      <c r="A32" s="133" t="s">
        <v>1124</v>
      </c>
      <c r="B32" s="134" t="s">
        <v>47</v>
      </c>
      <c r="C32" s="132" t="n">
        <v>10.5</v>
      </c>
    </row>
    <row r="33" customFormat="false" ht="14.25" hidden="false" customHeight="true" outlineLevel="0" collapsed="false">
      <c r="A33" s="135" t="s">
        <v>1125</v>
      </c>
      <c r="B33" s="136"/>
      <c r="C33" s="137" t="n">
        <v>661185.56268859</v>
      </c>
    </row>
    <row r="34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4.14"/>
    <col collapsed="false" customWidth="true" hidden="false" outlineLevel="0" max="3" min="3" style="10" width="16.14"/>
    <col collapsed="false" customWidth="true" hidden="false" outlineLevel="0" max="4" min="4" style="10" width="14.29"/>
    <col collapsed="false" customWidth="true" hidden="false" outlineLevel="0" max="5" min="5" style="10" width="18.14"/>
    <col collapsed="false" customWidth="true" hidden="false" outlineLevel="0" max="6" min="6" style="10" width="14.29"/>
    <col collapsed="false" customWidth="true" hidden="false" outlineLevel="0" max="7" min="7" style="10" width="24.86"/>
    <col collapsed="false" customWidth="true" hidden="false" outlineLevel="0" max="8" min="8" style="10" width="18.57"/>
    <col collapsed="false" customWidth="true" hidden="false" outlineLevel="0" max="9" min="9" style="10" width="17"/>
    <col collapsed="false" customWidth="true" hidden="false" outlineLevel="0" max="10" min="10" style="10" width="19.29"/>
  </cols>
  <sheetData>
    <row r="1" customFormat="false" ht="14.25" hidden="false" customHeight="true" outlineLevel="0" collapsed="false">
      <c r="A1" s="10" t="s">
        <v>189</v>
      </c>
      <c r="B1" s="10" t="s">
        <v>1126</v>
      </c>
      <c r="C1" s="10" t="s">
        <v>1127</v>
      </c>
      <c r="D1" s="10" t="s">
        <v>1128</v>
      </c>
      <c r="E1" s="10" t="s">
        <v>1129</v>
      </c>
      <c r="F1" s="119" t="s">
        <v>1130</v>
      </c>
      <c r="G1" s="10" t="s">
        <v>1131</v>
      </c>
      <c r="H1" s="119" t="s">
        <v>1067</v>
      </c>
      <c r="I1" s="10" t="s">
        <v>1132</v>
      </c>
      <c r="J1" s="119" t="s">
        <v>1133</v>
      </c>
    </row>
    <row r="2" customFormat="false" ht="14.25" hidden="false" customHeight="true" outlineLevel="0" collapsed="false">
      <c r="A2" s="10" t="s">
        <v>1134</v>
      </c>
      <c r="B2" s="10" t="n">
        <v>800</v>
      </c>
      <c r="C2" s="10" t="n">
        <v>30</v>
      </c>
      <c r="D2" s="10" t="n">
        <v>17</v>
      </c>
      <c r="E2" s="10" t="n">
        <v>12</v>
      </c>
      <c r="F2" s="10" t="n">
        <v>25</v>
      </c>
      <c r="G2" s="10" t="n">
        <v>164.6</v>
      </c>
      <c r="H2" s="10" t="n">
        <f aca="false">((PI()*(B2/2)^2)/1000000)*C2*D2</f>
        <v>256.353960532927</v>
      </c>
      <c r="I2" s="10" t="n">
        <f aca="false">(C2+1)*E2*D2*3.853</f>
        <v>24366.372</v>
      </c>
      <c r="J2" s="10" t="n">
        <f aca="false">G2*D2*0.617</f>
        <v>1726.4894</v>
      </c>
    </row>
    <row r="3" customFormat="false" ht="14.25" hidden="false" customHeight="true" outlineLevel="0" collapsed="false">
      <c r="A3" s="10" t="s">
        <v>1135</v>
      </c>
      <c r="B3" s="10" t="n">
        <v>1000</v>
      </c>
      <c r="C3" s="10" t="n">
        <v>30</v>
      </c>
      <c r="D3" s="10" t="n">
        <v>5</v>
      </c>
      <c r="E3" s="10" t="n">
        <v>16</v>
      </c>
      <c r="F3" s="10" t="n">
        <v>25</v>
      </c>
      <c r="G3" s="10" t="n">
        <v>268.2</v>
      </c>
      <c r="H3" s="10" t="n">
        <f aca="false">((PI()*(B3/2)^2)/1000000)*C3*D3</f>
        <v>117.809724509617</v>
      </c>
      <c r="I3" s="10" t="n">
        <f aca="false">(C3+1)*E3*D3*3.853</f>
        <v>9555.44</v>
      </c>
      <c r="J3" s="10" t="n">
        <f aca="false">G3*D3*0.617</f>
        <v>827.397</v>
      </c>
    </row>
    <row r="4" customFormat="false" ht="14.25" hidden="false" customHeight="true" outlineLevel="0" collapsed="false">
      <c r="H4" s="10" t="n">
        <f aca="false">SUM(H2:H3)</f>
        <v>374.163685042544</v>
      </c>
      <c r="I4" s="10" t="n">
        <f aca="false">SUM(I2:I3)</f>
        <v>33921.812</v>
      </c>
      <c r="J4" s="10" t="n">
        <f aca="false">SUM(J2:J3)</f>
        <v>2553.8864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71484375" defaultRowHeight="15" zeroHeight="false" outlineLevelRow="0" outlineLevelCol="0"/>
  <cols>
    <col collapsed="false" customWidth="true" hidden="false" outlineLevel="0" max="6" min="6" style="10" width="15.85"/>
    <col collapsed="false" customWidth="true" hidden="false" outlineLevel="0" max="7" min="7" style="10" width="16"/>
    <col collapsed="false" customWidth="true" hidden="false" outlineLevel="0" max="8" min="8" style="10" width="20.14"/>
    <col collapsed="false" customWidth="true" hidden="false" outlineLevel="0" max="9" min="9" style="10" width="17.29"/>
    <col collapsed="false" customWidth="true" hidden="false" outlineLevel="0" max="10" min="10" style="10" width="22.29"/>
    <col collapsed="false" customWidth="true" hidden="false" outlineLevel="0" max="12" min="12" style="10" width="15.85"/>
    <col collapsed="false" customWidth="true" hidden="false" outlineLevel="0" max="13" min="13" style="10" width="15"/>
    <col collapsed="false" customWidth="true" hidden="false" outlineLevel="0" max="16" min="16" style="10" width="17.29"/>
    <col collapsed="false" customWidth="true" hidden="false" outlineLevel="0" max="17" min="17" style="10" width="11"/>
    <col collapsed="false" customWidth="true" hidden="false" outlineLevel="0" max="21" min="21" style="10" width="12"/>
  </cols>
  <sheetData>
    <row r="1" customFormat="false" ht="14.25" hidden="false" customHeight="true" outlineLevel="0" collapsed="false">
      <c r="A1" s="10" t="s">
        <v>189</v>
      </c>
      <c r="B1" s="10" t="s">
        <v>1136</v>
      </c>
      <c r="C1" s="10" t="s">
        <v>1075</v>
      </c>
      <c r="D1" s="10" t="s">
        <v>1137</v>
      </c>
      <c r="E1" s="10" t="s">
        <v>1138</v>
      </c>
      <c r="F1" s="10" t="s">
        <v>1066</v>
      </c>
      <c r="G1" s="119" t="s">
        <v>1139</v>
      </c>
      <c r="H1" s="10" t="s">
        <v>1140</v>
      </c>
      <c r="I1" s="119" t="s">
        <v>1141</v>
      </c>
      <c r="J1" s="119" t="s">
        <v>1138</v>
      </c>
      <c r="K1" s="119" t="s">
        <v>1142</v>
      </c>
      <c r="L1" s="119" t="s">
        <v>1143</v>
      </c>
      <c r="M1" s="119" t="s">
        <v>1073</v>
      </c>
      <c r="N1" s="119" t="s">
        <v>1138</v>
      </c>
      <c r="O1" s="119" t="s">
        <v>1142</v>
      </c>
      <c r="P1" s="119" t="s">
        <v>1143</v>
      </c>
      <c r="Q1" s="119" t="s">
        <v>1073</v>
      </c>
      <c r="R1" s="119" t="s">
        <v>1138</v>
      </c>
      <c r="S1" s="119" t="s">
        <v>1142</v>
      </c>
      <c r="T1" s="119" t="s">
        <v>1143</v>
      </c>
      <c r="U1" s="119" t="s">
        <v>1073</v>
      </c>
    </row>
    <row r="2" customFormat="false" ht="14.25" hidden="false" customHeight="true" outlineLevel="0" collapsed="false">
      <c r="A2" s="10" t="s">
        <v>1144</v>
      </c>
      <c r="B2" s="10" t="n">
        <v>1.8</v>
      </c>
      <c r="C2" s="10" t="n">
        <v>1.8</v>
      </c>
      <c r="D2" s="10" t="n">
        <v>1.3</v>
      </c>
      <c r="E2" s="10" t="n">
        <v>11</v>
      </c>
      <c r="F2" s="10" t="n">
        <f aca="false">((B2+C2)*2)*D2*E2</f>
        <v>102.96</v>
      </c>
      <c r="G2" s="10" t="n">
        <f aca="false">B2*C2*D2*E2</f>
        <v>46.332</v>
      </c>
      <c r="H2" s="10" t="n">
        <f aca="false">53.51*E2</f>
        <v>588.61</v>
      </c>
      <c r="I2" s="10" t="n">
        <f aca="false">H2-G2</f>
        <v>542.278</v>
      </c>
      <c r="J2" s="10" t="n">
        <f aca="false">12*4</f>
        <v>48</v>
      </c>
      <c r="K2" s="10" t="n">
        <v>20</v>
      </c>
      <c r="L2" s="10" t="n">
        <v>4</v>
      </c>
      <c r="M2" s="10" t="n">
        <f aca="false">J2*L2*2.47*E2</f>
        <v>5216.64</v>
      </c>
      <c r="N2" s="10" t="n">
        <v>7</v>
      </c>
      <c r="O2" s="10" t="n">
        <v>12</v>
      </c>
      <c r="P2" s="10" t="n">
        <v>6.6</v>
      </c>
      <c r="Q2" s="10" t="n">
        <f aca="false">N2*P2*E2*0.888</f>
        <v>451.2816</v>
      </c>
    </row>
    <row r="3" customFormat="false" ht="14.25" hidden="false" customHeight="true" outlineLevel="0" collapsed="false">
      <c r="A3" s="10" t="s">
        <v>1145</v>
      </c>
      <c r="B3" s="10" t="n">
        <v>2</v>
      </c>
      <c r="C3" s="10" t="n">
        <v>2</v>
      </c>
      <c r="D3" s="10" t="n">
        <v>1.5</v>
      </c>
      <c r="E3" s="10" t="n">
        <v>5</v>
      </c>
      <c r="F3" s="10" t="n">
        <f aca="false">((B3+C3)*2)*D3*E3</f>
        <v>60</v>
      </c>
      <c r="G3" s="10" t="n">
        <f aca="false">B3*C3*D3*E3</f>
        <v>30</v>
      </c>
      <c r="H3" s="10" t="n">
        <f aca="false">68.66*E3</f>
        <v>343.3</v>
      </c>
      <c r="I3" s="10" t="n">
        <f aca="false">H3-G3</f>
        <v>313.3</v>
      </c>
      <c r="J3" s="10" t="n">
        <f aca="false">13*4</f>
        <v>52</v>
      </c>
      <c r="K3" s="10" t="n">
        <v>20</v>
      </c>
      <c r="L3" s="10" t="n">
        <v>4.6</v>
      </c>
      <c r="M3" s="10" t="n">
        <f aca="false">J3*L3*2.47*E3</f>
        <v>2954.12</v>
      </c>
      <c r="N3" s="10" t="n">
        <v>8</v>
      </c>
      <c r="O3" s="10" t="n">
        <v>12</v>
      </c>
      <c r="P3" s="10" t="n">
        <v>7.4</v>
      </c>
      <c r="Q3" s="10" t="n">
        <f aca="false">N3*P3*E3*0.888</f>
        <v>262.848</v>
      </c>
    </row>
    <row r="4" customFormat="false" ht="14.25" hidden="false" customHeight="true" outlineLevel="0" collapsed="false">
      <c r="A4" s="10" t="s">
        <v>1146</v>
      </c>
      <c r="B4" s="10" t="n">
        <v>4</v>
      </c>
      <c r="C4" s="10" t="n">
        <v>6.85</v>
      </c>
      <c r="D4" s="10" t="n">
        <v>1.75</v>
      </c>
      <c r="E4" s="10" t="n">
        <v>1</v>
      </c>
      <c r="F4" s="10" t="n">
        <f aca="false">((B4+C4)*2)*D4*E4</f>
        <v>37.975</v>
      </c>
      <c r="G4" s="10" t="n">
        <f aca="false">B4*C4*D4*E4</f>
        <v>47.95</v>
      </c>
      <c r="H4" s="10" t="n">
        <v>351.26</v>
      </c>
      <c r="I4" s="10" t="n">
        <f aca="false">H4-G4</f>
        <v>303.31</v>
      </c>
      <c r="J4" s="10" t="n">
        <v>65</v>
      </c>
      <c r="K4" s="10" t="n">
        <v>20</v>
      </c>
      <c r="L4" s="10" t="n">
        <v>9.5</v>
      </c>
      <c r="M4" s="10" t="n">
        <f aca="false">(J4*L4*2.47*E4)+605.15+815.1</f>
        <v>2945.475</v>
      </c>
      <c r="N4" s="10" t="n">
        <v>10</v>
      </c>
      <c r="O4" s="10" t="n">
        <v>12</v>
      </c>
      <c r="P4" s="10" t="n">
        <v>22</v>
      </c>
      <c r="Q4" s="10" t="n">
        <f aca="false">N4*P4*E4*0.888</f>
        <v>195.36</v>
      </c>
      <c r="R4" s="10" t="n">
        <v>30</v>
      </c>
      <c r="S4" s="10" t="n">
        <v>32</v>
      </c>
      <c r="T4" s="10" t="n">
        <v>6.7</v>
      </c>
      <c r="U4" s="10" t="n">
        <f aca="false">R4*T4*6.31</f>
        <v>1268.31</v>
      </c>
    </row>
    <row r="5" customFormat="false" ht="14.25" hidden="false" customHeight="true" outlineLevel="0" collapsed="false">
      <c r="F5" s="10" t="n">
        <f aca="false">SUM(F2:F4)</f>
        <v>200.935</v>
      </c>
      <c r="G5" s="10" t="n">
        <f aca="false">SUM(G2:G4)</f>
        <v>124.282</v>
      </c>
      <c r="H5" s="10" t="n">
        <f aca="false">SUM(H2:H4)</f>
        <v>1283.17</v>
      </c>
      <c r="I5" s="10" t="n">
        <f aca="false">SUM(I2:I4)</f>
        <v>1158.888</v>
      </c>
      <c r="M5" s="10" t="n">
        <f aca="false">SUM(M2:M4)</f>
        <v>11116.235</v>
      </c>
      <c r="Q5" s="10" t="n">
        <f aca="false">SUM(Q2:Q4)</f>
        <v>909.4896</v>
      </c>
      <c r="U5" s="10" t="n">
        <f aca="false">SUM(U4)</f>
        <v>1268.31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  <col collapsed="false" customWidth="true" hidden="false" outlineLevel="0" max="3" min="3" style="10" width="16.43"/>
    <col collapsed="false" customWidth="true" hidden="false" outlineLevel="0" max="4" min="4" style="10" width="16.14"/>
    <col collapsed="false" customWidth="true" hidden="false" outlineLevel="0" max="5" min="5" style="10" width="16.29"/>
    <col collapsed="false" customWidth="true" hidden="false" outlineLevel="0" max="6" min="6" style="10" width="19.42"/>
    <col collapsed="false" customWidth="true" hidden="false" outlineLevel="0" max="7" min="7" style="10" width="15.71"/>
    <col collapsed="false" customWidth="true" hidden="false" outlineLevel="0" max="8" min="8" style="10" width="19.29"/>
    <col collapsed="false" customWidth="true" hidden="false" outlineLevel="0" max="9" min="9" style="10" width="16.84"/>
    <col collapsed="false" customWidth="true" hidden="false" outlineLevel="0" max="10" min="10" style="10" width="17.71"/>
  </cols>
  <sheetData>
    <row r="1" customFormat="false" ht="14.25" hidden="false" customHeight="true" outlineLevel="0" collapsed="false">
      <c r="A1" s="10" t="s">
        <v>189</v>
      </c>
      <c r="B1" s="119" t="s">
        <v>1147</v>
      </c>
      <c r="C1" s="119" t="s">
        <v>1148</v>
      </c>
      <c r="D1" s="119" t="s">
        <v>1149</v>
      </c>
      <c r="E1" s="119" t="s">
        <v>1143</v>
      </c>
      <c r="F1" s="119" t="s">
        <v>1150</v>
      </c>
      <c r="G1" s="119" t="s">
        <v>1151</v>
      </c>
      <c r="H1" s="119" t="s">
        <v>1152</v>
      </c>
      <c r="I1" s="119" t="s">
        <v>1153</v>
      </c>
      <c r="J1" s="119" t="s">
        <v>1154</v>
      </c>
    </row>
    <row r="2" customFormat="false" ht="14.25" hidden="false" customHeight="true" outlineLevel="0" collapsed="false">
      <c r="A2" s="10" t="s">
        <v>1155</v>
      </c>
      <c r="B2" s="10" t="n">
        <v>2</v>
      </c>
      <c r="C2" s="10" t="n">
        <v>25</v>
      </c>
      <c r="D2" s="10" t="n">
        <v>24</v>
      </c>
      <c r="E2" s="10" t="n">
        <v>4.4</v>
      </c>
      <c r="F2" s="10" t="n">
        <f aca="false">3.85*D2*B2*E2</f>
        <v>813.12</v>
      </c>
      <c r="G2" s="10" t="n">
        <v>12</v>
      </c>
      <c r="H2" s="10" t="n">
        <v>12</v>
      </c>
      <c r="I2" s="10" t="n">
        <f aca="false">(2.8+2.5+2.1)</f>
        <v>7.4</v>
      </c>
      <c r="J2" s="10" t="n">
        <f aca="false">0.888*I2*H2*B2</f>
        <v>157.7088</v>
      </c>
    </row>
    <row r="3" customFormat="false" ht="14.25" hidden="false" customHeight="true" outlineLevel="0" collapsed="false">
      <c r="A3" s="10" t="s">
        <v>1156</v>
      </c>
      <c r="B3" s="10" t="n">
        <v>2</v>
      </c>
      <c r="C3" s="10" t="n">
        <v>25</v>
      </c>
      <c r="D3" s="10" t="n">
        <v>26</v>
      </c>
      <c r="E3" s="10" t="n">
        <v>4.4</v>
      </c>
      <c r="F3" s="10" t="n">
        <f aca="false">3.85*D3*B3*E3</f>
        <v>880.88</v>
      </c>
      <c r="G3" s="10" t="n">
        <v>12</v>
      </c>
      <c r="H3" s="10" t="n">
        <v>12</v>
      </c>
      <c r="I3" s="10" t="n">
        <f aca="false">(2.8+2.5+2.1)</f>
        <v>7.4</v>
      </c>
      <c r="J3" s="10" t="n">
        <f aca="false">0.888*I3*H3*B3</f>
        <v>157.7088</v>
      </c>
    </row>
    <row r="4" customFormat="false" ht="14.25" hidden="false" customHeight="true" outlineLevel="0" collapsed="false">
      <c r="A4" s="10" t="s">
        <v>1157</v>
      </c>
      <c r="B4" s="10" t="n">
        <v>4</v>
      </c>
      <c r="C4" s="10" t="n">
        <v>32</v>
      </c>
      <c r="D4" s="10" t="n">
        <v>24</v>
      </c>
      <c r="E4" s="10" t="n">
        <v>4.4</v>
      </c>
      <c r="F4" s="10" t="n">
        <f aca="false">6.32*D4*B4*E4</f>
        <v>2669.568</v>
      </c>
      <c r="G4" s="10" t="n">
        <v>12</v>
      </c>
      <c r="H4" s="10" t="n">
        <v>12</v>
      </c>
      <c r="I4" s="10" t="n">
        <f aca="false">3+2.1+2.1</f>
        <v>7.2</v>
      </c>
      <c r="J4" s="10" t="n">
        <f aca="false">0.888*I4*H4*B4</f>
        <v>306.8928</v>
      </c>
    </row>
    <row r="5" customFormat="false" ht="14.25" hidden="false" customHeight="true" outlineLevel="0" collapsed="false">
      <c r="A5" s="10" t="s">
        <v>1158</v>
      </c>
      <c r="B5" s="10" t="n">
        <v>4</v>
      </c>
      <c r="C5" s="10" t="n">
        <v>32</v>
      </c>
      <c r="D5" s="10" t="n">
        <v>28</v>
      </c>
      <c r="E5" s="10" t="n">
        <v>4.4</v>
      </c>
      <c r="F5" s="10" t="n">
        <f aca="false">6.32*D5*B5*E5</f>
        <v>3114.496</v>
      </c>
      <c r="G5" s="10" t="n">
        <v>12</v>
      </c>
      <c r="H5" s="10" t="n">
        <v>12</v>
      </c>
      <c r="I5" s="10" t="n">
        <f aca="false">3.4+2.5+2.5</f>
        <v>8.4</v>
      </c>
      <c r="J5" s="10" t="n">
        <f aca="false">0.888*I5*H5*B5</f>
        <v>358.0416</v>
      </c>
    </row>
    <row r="6" customFormat="false" ht="14.25" hidden="false" customHeight="true" outlineLevel="0" collapsed="false">
      <c r="A6" s="10" t="s">
        <v>1159</v>
      </c>
      <c r="B6" s="10" t="n">
        <v>4</v>
      </c>
      <c r="C6" s="10" t="n">
        <v>32</v>
      </c>
      <c r="D6" s="10" t="n">
        <v>32</v>
      </c>
      <c r="E6" s="10" t="n">
        <v>4.4</v>
      </c>
      <c r="F6" s="10" t="n">
        <f aca="false">6.32*D6*B6*E6</f>
        <v>3559.424</v>
      </c>
      <c r="G6" s="10" t="n">
        <v>12</v>
      </c>
      <c r="H6" s="10" t="n">
        <v>12</v>
      </c>
      <c r="I6" s="10" t="n">
        <f aca="false">3.4+2.6+2.6</f>
        <v>8.6</v>
      </c>
      <c r="J6" s="10" t="n">
        <f aca="false">0.888*I6*H6*B6</f>
        <v>366.5664</v>
      </c>
    </row>
    <row r="7" customFormat="false" ht="14.25" hidden="false" customHeight="true" outlineLevel="0" collapsed="false">
      <c r="J7" s="10" t="n">
        <f aca="false">SUM(J2:J6)</f>
        <v>1346.9184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  <col collapsed="false" customWidth="true" hidden="false" outlineLevel="0" max="3" min="3" style="10" width="9.71"/>
    <col collapsed="false" customWidth="true" hidden="false" outlineLevel="0" max="4" min="4" style="10" width="10.57"/>
    <col collapsed="false" customWidth="true" hidden="false" outlineLevel="0" max="5" min="5" style="10" width="10.42"/>
    <col collapsed="false" customWidth="true" hidden="false" outlineLevel="0" max="6" min="6" style="10" width="13.71"/>
    <col collapsed="false" customWidth="true" hidden="false" outlineLevel="0" max="7" min="7" style="10" width="14.71"/>
    <col collapsed="false" customWidth="true" hidden="false" outlineLevel="0" max="8" min="8" style="10" width="16.43"/>
    <col collapsed="false" customWidth="true" hidden="false" outlineLevel="0" max="9" min="9" style="10" width="16.14"/>
    <col collapsed="false" customWidth="true" hidden="false" outlineLevel="0" max="10" min="10" style="10" width="16.29"/>
    <col collapsed="false" customWidth="true" hidden="false" outlineLevel="0" max="11" min="11" style="10" width="19.42"/>
    <col collapsed="false" customWidth="true" hidden="false" outlineLevel="0" max="12" min="12" style="10" width="15.71"/>
    <col collapsed="false" customWidth="true" hidden="false" outlineLevel="0" max="13" min="13" style="10" width="19.29"/>
    <col collapsed="false" customWidth="true" hidden="false" outlineLevel="0" max="14" min="14" style="10" width="16.84"/>
    <col collapsed="false" customWidth="true" hidden="false" outlineLevel="0" max="15" min="15" style="10" width="17.71"/>
  </cols>
  <sheetData>
    <row r="1" customFormat="false" ht="14.25" hidden="false" customHeight="true" outlineLevel="0" collapsed="false">
      <c r="A1" s="10" t="s">
        <v>189</v>
      </c>
      <c r="B1" s="119" t="s">
        <v>1147</v>
      </c>
      <c r="C1" s="119" t="s">
        <v>1160</v>
      </c>
      <c r="D1" s="119" t="s">
        <v>1127</v>
      </c>
      <c r="E1" s="119" t="s">
        <v>1161</v>
      </c>
      <c r="F1" s="119" t="s">
        <v>1067</v>
      </c>
      <c r="G1" s="119" t="s">
        <v>1066</v>
      </c>
      <c r="H1" s="119" t="s">
        <v>1148</v>
      </c>
      <c r="I1" s="119" t="s">
        <v>1149</v>
      </c>
      <c r="J1" s="119" t="s">
        <v>1143</v>
      </c>
      <c r="K1" s="119" t="s">
        <v>1150</v>
      </c>
      <c r="L1" s="119" t="s">
        <v>1151</v>
      </c>
      <c r="M1" s="119" t="s">
        <v>1152</v>
      </c>
      <c r="N1" s="119" t="s">
        <v>1153</v>
      </c>
      <c r="O1" s="119" t="s">
        <v>1154</v>
      </c>
    </row>
    <row r="2" customFormat="false" ht="14.25" hidden="false" customHeight="true" outlineLevel="0" collapsed="false">
      <c r="A2" s="10" t="s">
        <v>1155</v>
      </c>
      <c r="B2" s="10" t="n">
        <v>2</v>
      </c>
      <c r="C2" s="10" t="n">
        <v>0.6</v>
      </c>
      <c r="D2" s="10" t="n">
        <v>0.9</v>
      </c>
      <c r="E2" s="10" t="n">
        <v>4.2</v>
      </c>
      <c r="F2" s="10" t="n">
        <f aca="false">B2*C2*D2*E2</f>
        <v>4.536</v>
      </c>
      <c r="G2" s="10" t="n">
        <f aca="false">((C2+D2)*2)*E2*B2</f>
        <v>25.2</v>
      </c>
      <c r="H2" s="10" t="n">
        <v>25</v>
      </c>
      <c r="I2" s="10" t="n">
        <v>24</v>
      </c>
      <c r="J2" s="10" t="n">
        <f aca="false">4.2+1</f>
        <v>5.2</v>
      </c>
      <c r="K2" s="10" t="n">
        <f aca="false">3.85*I2*B2*J2</f>
        <v>960.96</v>
      </c>
      <c r="L2" s="10" t="n">
        <v>12</v>
      </c>
      <c r="M2" s="10" t="n">
        <v>28</v>
      </c>
      <c r="N2" s="10" t="n">
        <f aca="false">(2.8+2.5+2.1)</f>
        <v>7.4</v>
      </c>
      <c r="O2" s="10" t="n">
        <f aca="false">0.888*N2*M2*B2</f>
        <v>367.9872</v>
      </c>
    </row>
    <row r="3" customFormat="false" ht="14.25" hidden="false" customHeight="true" outlineLevel="0" collapsed="false">
      <c r="A3" s="10" t="s">
        <v>1156</v>
      </c>
      <c r="B3" s="10" t="n">
        <v>2</v>
      </c>
      <c r="C3" s="10" t="n">
        <v>0.5</v>
      </c>
      <c r="D3" s="10" t="n">
        <v>0.8</v>
      </c>
      <c r="E3" s="10" t="n">
        <v>4.2</v>
      </c>
      <c r="F3" s="10" t="n">
        <f aca="false">B3*C3*D3*E3</f>
        <v>3.36</v>
      </c>
      <c r="G3" s="10" t="n">
        <f aca="false">((C3+D3)*2)*E3*B3</f>
        <v>21.84</v>
      </c>
      <c r="H3" s="10" t="n">
        <v>25</v>
      </c>
      <c r="I3" s="10" t="n">
        <v>24</v>
      </c>
      <c r="J3" s="10" t="n">
        <f aca="false">4.2+1</f>
        <v>5.2</v>
      </c>
      <c r="K3" s="10" t="n">
        <f aca="false">3.85*I3*B3*J3</f>
        <v>960.96</v>
      </c>
      <c r="L3" s="10" t="n">
        <v>12</v>
      </c>
      <c r="M3" s="10" t="n">
        <v>28</v>
      </c>
      <c r="N3" s="10" t="n">
        <f aca="false">(2.3+2.1+1.7)</f>
        <v>6.1</v>
      </c>
      <c r="O3" s="10" t="n">
        <f aca="false">0.888*N3*M3*B3</f>
        <v>303.3408</v>
      </c>
    </row>
    <row r="4" customFormat="false" ht="14.25" hidden="false" customHeight="true" outlineLevel="0" collapsed="false">
      <c r="A4" s="10" t="s">
        <v>1157</v>
      </c>
      <c r="B4" s="10" t="n">
        <v>4</v>
      </c>
      <c r="C4" s="10" t="n">
        <v>0.8</v>
      </c>
      <c r="D4" s="10" t="n">
        <v>0.8</v>
      </c>
      <c r="E4" s="10" t="n">
        <v>4.2</v>
      </c>
      <c r="F4" s="10" t="n">
        <f aca="false">B4*C4*D4*E4</f>
        <v>10.752</v>
      </c>
      <c r="G4" s="10" t="n">
        <f aca="false">((C4+D4)*2)*E4*B4</f>
        <v>53.76</v>
      </c>
      <c r="H4" s="10" t="n">
        <v>32</v>
      </c>
      <c r="I4" s="10" t="n">
        <v>24</v>
      </c>
      <c r="J4" s="10" t="n">
        <f aca="false">4.2+1</f>
        <v>5.2</v>
      </c>
      <c r="K4" s="10" t="n">
        <f aca="false">6.32*I4*B4*J4</f>
        <v>3154.944</v>
      </c>
      <c r="L4" s="10" t="n">
        <v>12</v>
      </c>
      <c r="M4" s="10" t="n">
        <v>28</v>
      </c>
      <c r="N4" s="10" t="n">
        <f aca="false">2.9+2.1+2.1</f>
        <v>7.1</v>
      </c>
      <c r="O4" s="10" t="n">
        <f aca="false">0.888*N4*M4*B4</f>
        <v>706.1376</v>
      </c>
    </row>
    <row r="5" customFormat="false" ht="14.25" hidden="false" customHeight="true" outlineLevel="0" collapsed="false">
      <c r="A5" s="10" t="s">
        <v>1158</v>
      </c>
      <c r="B5" s="10" t="n">
        <v>4</v>
      </c>
      <c r="C5" s="10" t="n">
        <v>0.9</v>
      </c>
      <c r="D5" s="10" t="n">
        <v>0.9</v>
      </c>
      <c r="E5" s="10" t="n">
        <v>4.2</v>
      </c>
      <c r="F5" s="10" t="n">
        <f aca="false">B5*C5*D5*E5</f>
        <v>13.608</v>
      </c>
      <c r="G5" s="10" t="n">
        <f aca="false">((C5+D5)*2)*E5*B5</f>
        <v>60.48</v>
      </c>
      <c r="H5" s="10" t="n">
        <v>32</v>
      </c>
      <c r="I5" s="10" t="n">
        <v>24</v>
      </c>
      <c r="J5" s="10" t="n">
        <f aca="false">4.2+1</f>
        <v>5.2</v>
      </c>
      <c r="K5" s="10" t="n">
        <f aca="false">6.32*I5*B5*J5</f>
        <v>3154.944</v>
      </c>
      <c r="L5" s="10" t="n">
        <v>12</v>
      </c>
      <c r="M5" s="10" t="n">
        <v>28</v>
      </c>
      <c r="N5" s="10" t="n">
        <f aca="false">3.4+2.5+2.5</f>
        <v>8.4</v>
      </c>
      <c r="O5" s="10" t="n">
        <f aca="false">0.888*N5*M5*B5</f>
        <v>835.4304</v>
      </c>
    </row>
    <row r="6" customFormat="false" ht="14.25" hidden="false" customHeight="true" outlineLevel="0" collapsed="false">
      <c r="A6" s="10" t="s">
        <v>1159</v>
      </c>
      <c r="B6" s="10" t="n">
        <v>4</v>
      </c>
      <c r="C6" s="10" t="n">
        <v>0.9</v>
      </c>
      <c r="D6" s="10" t="n">
        <v>0.9</v>
      </c>
      <c r="E6" s="10" t="n">
        <v>4.2</v>
      </c>
      <c r="F6" s="10" t="n">
        <f aca="false">B6*C6*D6*E6</f>
        <v>13.608</v>
      </c>
      <c r="G6" s="10" t="n">
        <f aca="false">((C6+D6)*2)*E6*B6</f>
        <v>60.48</v>
      </c>
      <c r="H6" s="10" t="n">
        <v>32</v>
      </c>
      <c r="I6" s="10" t="n">
        <v>32</v>
      </c>
      <c r="J6" s="10" t="n">
        <f aca="false">4.2+1</f>
        <v>5.2</v>
      </c>
      <c r="K6" s="10" t="n">
        <f aca="false">6.32*I6*B6*J6</f>
        <v>4206.592</v>
      </c>
      <c r="L6" s="10" t="n">
        <v>12</v>
      </c>
      <c r="M6" s="10" t="n">
        <v>28</v>
      </c>
      <c r="N6" s="10" t="n">
        <f aca="false">3.33+2.6+2.6</f>
        <v>8.53</v>
      </c>
      <c r="O6" s="10" t="n">
        <f aca="false">0.888*N6*M6*B6</f>
        <v>848.35968</v>
      </c>
    </row>
    <row r="7" customFormat="false" ht="14.25" hidden="false" customHeight="true" outlineLevel="0" collapsed="false">
      <c r="F7" s="10" t="n">
        <f aca="false">SUM(F2:F6)</f>
        <v>45.864</v>
      </c>
      <c r="G7" s="10" t="n">
        <f aca="false">SUM(G2:G6)</f>
        <v>221.76</v>
      </c>
      <c r="O7" s="10" t="n">
        <f aca="false">SUM(O2:O6)</f>
        <v>3061.25568</v>
      </c>
    </row>
    <row r="9" customFormat="false" ht="14.25" hidden="false" customHeight="true" outlineLevel="0" collapsed="false">
      <c r="H9" s="10" t="n">
        <v>12</v>
      </c>
      <c r="I9" s="10" t="n">
        <f aca="false">O7</f>
        <v>3061.25568</v>
      </c>
    </row>
    <row r="10" customFormat="false" ht="14.25" hidden="false" customHeight="true" outlineLevel="0" collapsed="false">
      <c r="H10" s="10" t="n">
        <v>25</v>
      </c>
      <c r="I10" s="10" t="n">
        <f aca="false">K2+K3</f>
        <v>1921.92</v>
      </c>
    </row>
    <row r="11" customFormat="false" ht="14.25" hidden="false" customHeight="true" outlineLevel="0" collapsed="false">
      <c r="H11" s="10" t="n">
        <v>32</v>
      </c>
      <c r="I11" s="10" t="n">
        <f aca="false">K4+K5+K6</f>
        <v>10516.48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  <col collapsed="false" customWidth="true" hidden="false" outlineLevel="0" max="3" min="3" style="10" width="9.71"/>
    <col collapsed="false" customWidth="true" hidden="false" outlineLevel="0" max="4" min="4" style="10" width="10.57"/>
    <col collapsed="false" customWidth="true" hidden="false" outlineLevel="0" max="5" min="5" style="10" width="10.42"/>
    <col collapsed="false" customWidth="true" hidden="false" outlineLevel="0" max="6" min="6" style="10" width="13.71"/>
    <col collapsed="false" customWidth="true" hidden="false" outlineLevel="0" max="7" min="7" style="10" width="14.71"/>
    <col collapsed="false" customWidth="true" hidden="false" outlineLevel="0" max="8" min="8" style="10" width="16.43"/>
    <col collapsed="false" customWidth="true" hidden="false" outlineLevel="0" max="9" min="9" style="10" width="16.14"/>
    <col collapsed="false" customWidth="true" hidden="false" outlineLevel="0" max="10" min="10" style="10" width="16.29"/>
    <col collapsed="false" customWidth="true" hidden="false" outlineLevel="0" max="11" min="11" style="10" width="19.42"/>
    <col collapsed="false" customWidth="true" hidden="false" outlineLevel="0" max="12" min="12" style="10" width="15.71"/>
    <col collapsed="false" customWidth="true" hidden="false" outlineLevel="0" max="13" min="13" style="10" width="19.29"/>
    <col collapsed="false" customWidth="true" hidden="false" outlineLevel="0" max="14" min="14" style="10" width="16.84"/>
    <col collapsed="false" customWidth="true" hidden="false" outlineLevel="0" max="15" min="15" style="10" width="17.71"/>
  </cols>
  <sheetData>
    <row r="1" customFormat="false" ht="14.25" hidden="false" customHeight="true" outlineLevel="0" collapsed="false">
      <c r="A1" s="10" t="s">
        <v>189</v>
      </c>
      <c r="B1" s="119" t="s">
        <v>1147</v>
      </c>
      <c r="C1" s="119" t="s">
        <v>1160</v>
      </c>
      <c r="D1" s="119" t="s">
        <v>1127</v>
      </c>
      <c r="E1" s="119" t="s">
        <v>1161</v>
      </c>
      <c r="F1" s="119" t="s">
        <v>1067</v>
      </c>
      <c r="G1" s="119" t="s">
        <v>1066</v>
      </c>
      <c r="H1" s="119" t="s">
        <v>1148</v>
      </c>
      <c r="I1" s="119" t="s">
        <v>1149</v>
      </c>
      <c r="J1" s="119" t="s">
        <v>1143</v>
      </c>
      <c r="K1" s="119" t="s">
        <v>1150</v>
      </c>
      <c r="L1" s="119" t="s">
        <v>1151</v>
      </c>
      <c r="M1" s="119" t="s">
        <v>1152</v>
      </c>
      <c r="N1" s="119" t="s">
        <v>1153</v>
      </c>
      <c r="O1" s="119" t="s">
        <v>1154</v>
      </c>
    </row>
    <row r="2" customFormat="false" ht="14.25" hidden="false" customHeight="true" outlineLevel="0" collapsed="false">
      <c r="A2" s="10" t="s">
        <v>1155</v>
      </c>
      <c r="B2" s="10" t="n">
        <v>2</v>
      </c>
      <c r="C2" s="10" t="n">
        <v>0.6</v>
      </c>
      <c r="D2" s="10" t="n">
        <v>0.9</v>
      </c>
      <c r="E2" s="10" t="n">
        <v>3.6</v>
      </c>
      <c r="F2" s="10" t="n">
        <f aca="false">B2*C2*D2*E2</f>
        <v>3.888</v>
      </c>
      <c r="G2" s="10" t="n">
        <f aca="false">((C2+D2)*2)*E2*B2</f>
        <v>21.6</v>
      </c>
      <c r="H2" s="10" t="n">
        <v>25</v>
      </c>
      <c r="I2" s="10" t="n">
        <v>24</v>
      </c>
      <c r="J2" s="10" t="n">
        <f aca="false">3.6+1</f>
        <v>4.6</v>
      </c>
      <c r="K2" s="10" t="n">
        <f aca="false">3.85*I2*B2*J2</f>
        <v>850.08</v>
      </c>
      <c r="L2" s="10" t="n">
        <v>12</v>
      </c>
      <c r="M2" s="10" t="n">
        <v>24</v>
      </c>
      <c r="N2" s="10" t="n">
        <f aca="false">(2.8+2.5+2.1)</f>
        <v>7.4</v>
      </c>
      <c r="O2" s="10" t="n">
        <f aca="false">0.888*N2*M2*B2</f>
        <v>315.4176</v>
      </c>
    </row>
    <row r="3" customFormat="false" ht="14.25" hidden="false" customHeight="true" outlineLevel="0" collapsed="false">
      <c r="A3" s="10" t="s">
        <v>1156</v>
      </c>
      <c r="B3" s="10" t="n">
        <v>2</v>
      </c>
      <c r="C3" s="10" t="n">
        <v>0.5</v>
      </c>
      <c r="D3" s="10" t="n">
        <v>0.8</v>
      </c>
      <c r="E3" s="10" t="n">
        <v>3.6</v>
      </c>
      <c r="F3" s="10" t="n">
        <f aca="false">B3*C3*D3*E3</f>
        <v>2.88</v>
      </c>
      <c r="G3" s="10" t="n">
        <f aca="false">((C3+D3)*2)*E3*B3</f>
        <v>18.72</v>
      </c>
      <c r="H3" s="10" t="n">
        <v>25</v>
      </c>
      <c r="I3" s="10" t="n">
        <v>24</v>
      </c>
      <c r="J3" s="10" t="n">
        <f aca="false">3.6+1</f>
        <v>4.6</v>
      </c>
      <c r="K3" s="10" t="n">
        <f aca="false">3.85*I3*B3*J3</f>
        <v>850.08</v>
      </c>
      <c r="L3" s="10" t="n">
        <v>12</v>
      </c>
      <c r="M3" s="10" t="n">
        <v>24</v>
      </c>
      <c r="N3" s="10" t="n">
        <v>6.1</v>
      </c>
      <c r="O3" s="10" t="n">
        <f aca="false">0.888*N3*M3*B3</f>
        <v>260.0064</v>
      </c>
    </row>
    <row r="4" customFormat="false" ht="14.25" hidden="false" customHeight="true" outlineLevel="0" collapsed="false">
      <c r="A4" s="10" t="s">
        <v>1157</v>
      </c>
      <c r="B4" s="10" t="n">
        <v>4</v>
      </c>
      <c r="C4" s="10" t="n">
        <v>0.8</v>
      </c>
      <c r="D4" s="10" t="n">
        <v>0.8</v>
      </c>
      <c r="E4" s="10" t="n">
        <v>3.6</v>
      </c>
      <c r="F4" s="10" t="n">
        <f aca="false">B4*C4*D4*E4</f>
        <v>9.216</v>
      </c>
      <c r="G4" s="10" t="n">
        <f aca="false">((C4+D4)*2)*E4*B4</f>
        <v>46.08</v>
      </c>
      <c r="H4" s="10" t="n">
        <v>32</v>
      </c>
      <c r="I4" s="10" t="n">
        <v>24</v>
      </c>
      <c r="J4" s="10" t="n">
        <f aca="false">3.6+1</f>
        <v>4.6</v>
      </c>
      <c r="K4" s="10" t="n">
        <f aca="false">6.32*I4*B4*J4</f>
        <v>2790.912</v>
      </c>
      <c r="L4" s="10" t="n">
        <v>12</v>
      </c>
      <c r="M4" s="10" t="n">
        <v>24</v>
      </c>
      <c r="N4" s="10" t="n">
        <v>7.1</v>
      </c>
      <c r="O4" s="10" t="n">
        <f aca="false">0.888*N4*M4*B4</f>
        <v>605.2608</v>
      </c>
    </row>
    <row r="5" customFormat="false" ht="14.25" hidden="false" customHeight="true" outlineLevel="0" collapsed="false">
      <c r="A5" s="10" t="s">
        <v>1158</v>
      </c>
      <c r="B5" s="10" t="n">
        <v>4</v>
      </c>
      <c r="C5" s="10" t="n">
        <v>0.9</v>
      </c>
      <c r="D5" s="10" t="n">
        <v>0.9</v>
      </c>
      <c r="E5" s="10" t="n">
        <v>3.6</v>
      </c>
      <c r="F5" s="10" t="n">
        <f aca="false">B5*C5*D5*E5</f>
        <v>11.664</v>
      </c>
      <c r="G5" s="10" t="n">
        <f aca="false">((C5+D5)*2)*E5*B5</f>
        <v>51.84</v>
      </c>
      <c r="H5" s="10" t="n">
        <v>32</v>
      </c>
      <c r="I5" s="10" t="n">
        <v>24</v>
      </c>
      <c r="J5" s="10" t="n">
        <f aca="false">3.6+1</f>
        <v>4.6</v>
      </c>
      <c r="K5" s="10" t="n">
        <f aca="false">6.32*I5*B5*J5</f>
        <v>2790.912</v>
      </c>
      <c r="L5" s="10" t="n">
        <v>12</v>
      </c>
      <c r="M5" s="10" t="n">
        <v>24</v>
      </c>
      <c r="N5" s="10" t="n">
        <v>8.4</v>
      </c>
      <c r="O5" s="10" t="n">
        <f aca="false">0.888*N5*M5*B5</f>
        <v>716.0832</v>
      </c>
    </row>
    <row r="6" customFormat="false" ht="14.25" hidden="false" customHeight="true" outlineLevel="0" collapsed="false">
      <c r="A6" s="10" t="s">
        <v>1159</v>
      </c>
      <c r="B6" s="10" t="n">
        <v>4</v>
      </c>
      <c r="C6" s="10" t="n">
        <v>0.9</v>
      </c>
      <c r="D6" s="10" t="n">
        <v>0.9</v>
      </c>
      <c r="E6" s="10" t="n">
        <v>3.6</v>
      </c>
      <c r="F6" s="10" t="n">
        <f aca="false">B6*C6*D6*E6</f>
        <v>11.664</v>
      </c>
      <c r="G6" s="10" t="n">
        <f aca="false">((C6+D6)*2)*E6*B6</f>
        <v>51.84</v>
      </c>
      <c r="H6" s="10" t="n">
        <v>32</v>
      </c>
      <c r="I6" s="10" t="n">
        <v>32</v>
      </c>
      <c r="J6" s="10" t="n">
        <f aca="false">3.6+1</f>
        <v>4.6</v>
      </c>
      <c r="K6" s="10" t="n">
        <f aca="false">6.32*I6*B6*J6</f>
        <v>3721.216</v>
      </c>
      <c r="L6" s="10" t="n">
        <v>12</v>
      </c>
      <c r="M6" s="10" t="n">
        <v>24</v>
      </c>
      <c r="N6" s="10" t="n">
        <v>8.53</v>
      </c>
      <c r="O6" s="10" t="n">
        <f aca="false">0.888*N6*M6*B6</f>
        <v>727.16544</v>
      </c>
    </row>
    <row r="7" customFormat="false" ht="14.25" hidden="false" customHeight="true" outlineLevel="0" collapsed="false">
      <c r="F7" s="10" t="n">
        <f aca="false">SUM(F2:F6)</f>
        <v>39.312</v>
      </c>
      <c r="G7" s="10" t="n">
        <f aca="false">SUM(G2:G6)</f>
        <v>190.08</v>
      </c>
      <c r="O7" s="10" t="n">
        <f aca="false">SUM(O2:O6)</f>
        <v>2623.93344</v>
      </c>
    </row>
    <row r="9" customFormat="false" ht="14.25" hidden="false" customHeight="true" outlineLevel="0" collapsed="false">
      <c r="H9" s="10" t="n">
        <v>12</v>
      </c>
      <c r="I9" s="10" t="n">
        <f aca="false">O7</f>
        <v>2623.93344</v>
      </c>
    </row>
    <row r="10" customFormat="false" ht="14.25" hidden="false" customHeight="true" outlineLevel="0" collapsed="false">
      <c r="H10" s="10" t="n">
        <v>25</v>
      </c>
      <c r="I10" s="10" t="n">
        <f aca="false">K2+K3</f>
        <v>1700.16</v>
      </c>
    </row>
    <row r="11" customFormat="false" ht="14.25" hidden="false" customHeight="true" outlineLevel="0" collapsed="false">
      <c r="H11" s="10" t="n">
        <v>32</v>
      </c>
      <c r="I11" s="10" t="n">
        <f aca="false">K4+K5+K6</f>
        <v>9303.04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  <col collapsed="false" customWidth="true" hidden="false" outlineLevel="0" max="3" min="3" style="10" width="9.71"/>
    <col collapsed="false" customWidth="true" hidden="false" outlineLevel="0" max="4" min="4" style="10" width="10.57"/>
    <col collapsed="false" customWidth="true" hidden="false" outlineLevel="0" max="5" min="5" style="10" width="10.42"/>
    <col collapsed="false" customWidth="true" hidden="false" outlineLevel="0" max="6" min="6" style="10" width="13.71"/>
    <col collapsed="false" customWidth="true" hidden="false" outlineLevel="0" max="7" min="7" style="10" width="14.71"/>
    <col collapsed="false" customWidth="true" hidden="false" outlineLevel="0" max="8" min="8" style="10" width="16.43"/>
    <col collapsed="false" customWidth="true" hidden="false" outlineLevel="0" max="9" min="9" style="10" width="16.14"/>
    <col collapsed="false" customWidth="true" hidden="false" outlineLevel="0" max="10" min="10" style="10" width="16.29"/>
    <col collapsed="false" customWidth="true" hidden="false" outlineLevel="0" max="11" min="11" style="10" width="19.42"/>
    <col collapsed="false" customWidth="true" hidden="false" outlineLevel="0" max="12" min="12" style="10" width="15.71"/>
    <col collapsed="false" customWidth="true" hidden="false" outlineLevel="0" max="13" min="13" style="10" width="19.29"/>
    <col collapsed="false" customWidth="true" hidden="false" outlineLevel="0" max="14" min="14" style="10" width="16.84"/>
    <col collapsed="false" customWidth="true" hidden="false" outlineLevel="0" max="15" min="15" style="10" width="17.71"/>
  </cols>
  <sheetData>
    <row r="1" customFormat="false" ht="14.25" hidden="false" customHeight="true" outlineLevel="0" collapsed="false">
      <c r="A1" s="10" t="s">
        <v>189</v>
      </c>
      <c r="B1" s="119" t="s">
        <v>1147</v>
      </c>
      <c r="C1" s="119" t="s">
        <v>1160</v>
      </c>
      <c r="D1" s="119" t="s">
        <v>1127</v>
      </c>
      <c r="E1" s="119" t="s">
        <v>1161</v>
      </c>
      <c r="F1" s="119" t="s">
        <v>1067</v>
      </c>
      <c r="G1" s="119" t="s">
        <v>1066</v>
      </c>
      <c r="H1" s="119" t="s">
        <v>1148</v>
      </c>
      <c r="I1" s="119" t="s">
        <v>1149</v>
      </c>
      <c r="J1" s="119" t="s">
        <v>1143</v>
      </c>
      <c r="K1" s="119" t="s">
        <v>1150</v>
      </c>
      <c r="L1" s="119" t="s">
        <v>1151</v>
      </c>
      <c r="M1" s="119" t="s">
        <v>1152</v>
      </c>
      <c r="N1" s="119" t="s">
        <v>1153</v>
      </c>
      <c r="O1" s="119" t="s">
        <v>1154</v>
      </c>
    </row>
    <row r="2" customFormat="false" ht="14.25" hidden="false" customHeight="true" outlineLevel="0" collapsed="false">
      <c r="A2" s="10" t="s">
        <v>1155</v>
      </c>
      <c r="B2" s="10" t="n">
        <v>2</v>
      </c>
      <c r="C2" s="10" t="n">
        <v>0.6</v>
      </c>
      <c r="D2" s="10" t="n">
        <v>0.9</v>
      </c>
      <c r="E2" s="10" t="n">
        <v>4.2</v>
      </c>
      <c r="F2" s="10" t="n">
        <f aca="false">B2*C2*D2*E2</f>
        <v>4.536</v>
      </c>
      <c r="G2" s="10" t="n">
        <f aca="false">((C2+D2)*2)*E2*B2</f>
        <v>25.2</v>
      </c>
      <c r="H2" s="10" t="n">
        <v>25</v>
      </c>
      <c r="I2" s="10" t="n">
        <v>24</v>
      </c>
      <c r="J2" s="10" t="n">
        <f aca="false">4.2+1</f>
        <v>5.2</v>
      </c>
      <c r="K2" s="10" t="n">
        <f aca="false">3.85*I2*B2*J2</f>
        <v>960.96</v>
      </c>
      <c r="L2" s="10" t="n">
        <v>12</v>
      </c>
      <c r="M2" s="10" t="n">
        <v>28</v>
      </c>
      <c r="N2" s="10" t="n">
        <f aca="false">(2.8+2.5+2.1)</f>
        <v>7.4</v>
      </c>
      <c r="O2" s="10" t="n">
        <f aca="false">0.888*N2*M2*B2</f>
        <v>367.9872</v>
      </c>
    </row>
    <row r="3" customFormat="false" ht="14.25" hidden="false" customHeight="true" outlineLevel="0" collapsed="false">
      <c r="A3" s="10" t="s">
        <v>1156</v>
      </c>
      <c r="B3" s="10" t="n">
        <v>2</v>
      </c>
      <c r="C3" s="10" t="n">
        <v>0.5</v>
      </c>
      <c r="D3" s="10" t="n">
        <v>0.8</v>
      </c>
      <c r="E3" s="10" t="n">
        <v>4.2</v>
      </c>
      <c r="F3" s="10" t="n">
        <f aca="false">B3*C3*D3*E3</f>
        <v>3.36</v>
      </c>
      <c r="G3" s="10" t="n">
        <f aca="false">((C3+D3)*2)*E3*B3</f>
        <v>21.84</v>
      </c>
      <c r="H3" s="10" t="n">
        <v>25</v>
      </c>
      <c r="I3" s="10" t="n">
        <v>24</v>
      </c>
      <c r="J3" s="10" t="n">
        <f aca="false">4.2+1</f>
        <v>5.2</v>
      </c>
      <c r="K3" s="10" t="n">
        <f aca="false">3.85*I3*B3*J3</f>
        <v>960.96</v>
      </c>
      <c r="L3" s="10" t="n">
        <v>12</v>
      </c>
      <c r="M3" s="10" t="n">
        <v>28</v>
      </c>
      <c r="N3" s="10" t="n">
        <v>6.1</v>
      </c>
      <c r="O3" s="10" t="n">
        <f aca="false">0.888*N3*M3*B3</f>
        <v>303.3408</v>
      </c>
    </row>
    <row r="4" customFormat="false" ht="14.25" hidden="false" customHeight="true" outlineLevel="0" collapsed="false">
      <c r="A4" s="10" t="s">
        <v>1157</v>
      </c>
      <c r="B4" s="10" t="n">
        <v>4</v>
      </c>
      <c r="C4" s="10" t="n">
        <v>0.8</v>
      </c>
      <c r="D4" s="10" t="n">
        <v>0.8</v>
      </c>
      <c r="E4" s="10" t="n">
        <v>4.2</v>
      </c>
      <c r="F4" s="10" t="n">
        <f aca="false">B4*C4*D4*E4</f>
        <v>10.752</v>
      </c>
      <c r="G4" s="10" t="n">
        <f aca="false">((C4+D4)*2)*E4*B4</f>
        <v>53.76</v>
      </c>
      <c r="H4" s="10" t="n">
        <v>32</v>
      </c>
      <c r="I4" s="10" t="n">
        <v>24</v>
      </c>
      <c r="J4" s="10" t="n">
        <f aca="false">4.2+1</f>
        <v>5.2</v>
      </c>
      <c r="K4" s="10" t="n">
        <f aca="false">6.32*I4*B4*J4</f>
        <v>3154.944</v>
      </c>
      <c r="L4" s="10" t="n">
        <v>12</v>
      </c>
      <c r="M4" s="10" t="n">
        <v>28</v>
      </c>
      <c r="N4" s="10" t="n">
        <v>7.1</v>
      </c>
      <c r="O4" s="10" t="n">
        <f aca="false">0.888*N4*M4*B4</f>
        <v>706.1376</v>
      </c>
    </row>
    <row r="5" customFormat="false" ht="14.25" hidden="false" customHeight="true" outlineLevel="0" collapsed="false">
      <c r="A5" s="10" t="s">
        <v>1158</v>
      </c>
      <c r="B5" s="10" t="n">
        <v>4</v>
      </c>
      <c r="C5" s="10" t="n">
        <v>0.9</v>
      </c>
      <c r="D5" s="10" t="n">
        <v>0.9</v>
      </c>
      <c r="E5" s="10" t="n">
        <v>4.2</v>
      </c>
      <c r="F5" s="10" t="n">
        <f aca="false">B5*C5*D5*E5</f>
        <v>13.608</v>
      </c>
      <c r="G5" s="10" t="n">
        <f aca="false">((C5+D5)*2)*E5*B5</f>
        <v>60.48</v>
      </c>
      <c r="H5" s="10" t="n">
        <v>32</v>
      </c>
      <c r="I5" s="10" t="n">
        <v>24</v>
      </c>
      <c r="J5" s="10" t="n">
        <f aca="false">4.2+1</f>
        <v>5.2</v>
      </c>
      <c r="K5" s="10" t="n">
        <f aca="false">6.32*I5*B5*J5</f>
        <v>3154.944</v>
      </c>
      <c r="L5" s="10" t="n">
        <v>12</v>
      </c>
      <c r="M5" s="10" t="n">
        <v>28</v>
      </c>
      <c r="N5" s="10" t="n">
        <v>8.4</v>
      </c>
      <c r="O5" s="10" t="n">
        <f aca="false">0.888*N5*M5*B5</f>
        <v>835.4304</v>
      </c>
    </row>
    <row r="6" customFormat="false" ht="14.25" hidden="false" customHeight="true" outlineLevel="0" collapsed="false">
      <c r="A6" s="10" t="s">
        <v>1159</v>
      </c>
      <c r="B6" s="10" t="n">
        <v>4</v>
      </c>
      <c r="C6" s="10" t="n">
        <v>0.9</v>
      </c>
      <c r="D6" s="10" t="n">
        <v>0.9</v>
      </c>
      <c r="E6" s="10" t="n">
        <v>4.2</v>
      </c>
      <c r="F6" s="10" t="n">
        <f aca="false">B6*C6*D6*E6</f>
        <v>13.608</v>
      </c>
      <c r="G6" s="10" t="n">
        <f aca="false">((C6+D6)*2)*E6*B6</f>
        <v>60.48</v>
      </c>
      <c r="H6" s="10" t="n">
        <v>32</v>
      </c>
      <c r="I6" s="10" t="n">
        <v>32</v>
      </c>
      <c r="J6" s="10" t="n">
        <f aca="false">4.2+1</f>
        <v>5.2</v>
      </c>
      <c r="K6" s="10" t="n">
        <f aca="false">6.32*I6*B6*J6</f>
        <v>4206.592</v>
      </c>
      <c r="L6" s="10" t="n">
        <v>12</v>
      </c>
      <c r="M6" s="10" t="n">
        <v>28</v>
      </c>
      <c r="N6" s="10" t="n">
        <v>8.53</v>
      </c>
      <c r="O6" s="10" t="n">
        <f aca="false">0.888*N6*M6*B6</f>
        <v>848.35968</v>
      </c>
    </row>
    <row r="7" customFormat="false" ht="14.25" hidden="false" customHeight="true" outlineLevel="0" collapsed="false">
      <c r="F7" s="10" t="n">
        <f aca="false">SUM(F2:F6)</f>
        <v>45.864</v>
      </c>
      <c r="G7" s="10" t="n">
        <f aca="false">SUM(G2:G6)</f>
        <v>221.76</v>
      </c>
      <c r="O7" s="10" t="n">
        <f aca="false">SUM(O2:O6)</f>
        <v>3061.25568</v>
      </c>
    </row>
    <row r="9" customFormat="false" ht="14.25" hidden="false" customHeight="true" outlineLevel="0" collapsed="false">
      <c r="H9" s="10" t="n">
        <v>12</v>
      </c>
      <c r="I9" s="10" t="n">
        <f aca="false">O7</f>
        <v>3061.25568</v>
      </c>
    </row>
    <row r="10" customFormat="false" ht="14.25" hidden="false" customHeight="true" outlineLevel="0" collapsed="false">
      <c r="H10" s="10" t="n">
        <v>25</v>
      </c>
      <c r="I10" s="10" t="n">
        <f aca="false">K2+K3</f>
        <v>1921.92</v>
      </c>
    </row>
    <row r="11" customFormat="false" ht="14.25" hidden="false" customHeight="true" outlineLevel="0" collapsed="false">
      <c r="H11" s="10" t="n">
        <v>32</v>
      </c>
      <c r="I11" s="10" t="n">
        <f aca="false">K4+K5+K6</f>
        <v>10516.48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  <col collapsed="false" customWidth="true" hidden="false" outlineLevel="0" max="3" min="3" style="10" width="9.71"/>
    <col collapsed="false" customWidth="true" hidden="false" outlineLevel="0" max="4" min="4" style="10" width="10.57"/>
    <col collapsed="false" customWidth="true" hidden="false" outlineLevel="0" max="5" min="5" style="10" width="10.42"/>
    <col collapsed="false" customWidth="true" hidden="false" outlineLevel="0" max="6" min="6" style="10" width="13.71"/>
    <col collapsed="false" customWidth="true" hidden="false" outlineLevel="0" max="7" min="7" style="10" width="14.71"/>
    <col collapsed="false" customWidth="true" hidden="false" outlineLevel="0" max="8" min="8" style="10" width="16.43"/>
    <col collapsed="false" customWidth="true" hidden="false" outlineLevel="0" max="9" min="9" style="10" width="16.14"/>
    <col collapsed="false" customWidth="true" hidden="false" outlineLevel="0" max="10" min="10" style="10" width="16.29"/>
    <col collapsed="false" customWidth="true" hidden="false" outlineLevel="0" max="11" min="11" style="10" width="19.42"/>
    <col collapsed="false" customWidth="true" hidden="false" outlineLevel="0" max="12" min="12" style="10" width="15.71"/>
    <col collapsed="false" customWidth="true" hidden="false" outlineLevel="0" max="13" min="13" style="10" width="19.29"/>
    <col collapsed="false" customWidth="true" hidden="false" outlineLevel="0" max="14" min="14" style="10" width="16.84"/>
    <col collapsed="false" customWidth="true" hidden="false" outlineLevel="0" max="15" min="15" style="10" width="17.71"/>
  </cols>
  <sheetData>
    <row r="1" customFormat="false" ht="14.25" hidden="false" customHeight="true" outlineLevel="0" collapsed="false">
      <c r="A1" s="10" t="s">
        <v>189</v>
      </c>
      <c r="B1" s="119" t="s">
        <v>1147</v>
      </c>
      <c r="C1" s="119" t="s">
        <v>1160</v>
      </c>
      <c r="D1" s="119" t="s">
        <v>1127</v>
      </c>
      <c r="E1" s="119" t="s">
        <v>1161</v>
      </c>
      <c r="F1" s="119" t="s">
        <v>1067</v>
      </c>
      <c r="G1" s="119" t="s">
        <v>1066</v>
      </c>
      <c r="H1" s="119" t="s">
        <v>1148</v>
      </c>
      <c r="I1" s="119" t="s">
        <v>1149</v>
      </c>
      <c r="J1" s="119" t="s">
        <v>1143</v>
      </c>
      <c r="K1" s="119" t="s">
        <v>1150</v>
      </c>
      <c r="L1" s="119" t="s">
        <v>1151</v>
      </c>
      <c r="M1" s="119" t="s">
        <v>1152</v>
      </c>
      <c r="N1" s="119" t="s">
        <v>1153</v>
      </c>
      <c r="O1" s="119" t="s">
        <v>1154</v>
      </c>
    </row>
    <row r="2" customFormat="false" ht="14.25" hidden="false" customHeight="true" outlineLevel="0" collapsed="false">
      <c r="A2" s="10" t="s">
        <v>1155</v>
      </c>
      <c r="B2" s="10" t="n">
        <v>2</v>
      </c>
      <c r="C2" s="10" t="n">
        <v>0.6</v>
      </c>
      <c r="D2" s="10" t="n">
        <v>0.9</v>
      </c>
      <c r="E2" s="10" t="n">
        <v>4.2</v>
      </c>
      <c r="F2" s="10" t="n">
        <f aca="false">B2*C2*D2*E2</f>
        <v>4.536</v>
      </c>
      <c r="G2" s="10" t="n">
        <f aca="false">((C2+D2)*2)*E2*B2</f>
        <v>25.2</v>
      </c>
      <c r="H2" s="10" t="n">
        <v>25</v>
      </c>
      <c r="I2" s="10" t="n">
        <v>24</v>
      </c>
      <c r="J2" s="10" t="n">
        <f aca="false">4.2+1</f>
        <v>5.2</v>
      </c>
      <c r="K2" s="10" t="n">
        <f aca="false">3.85*I2*B2*J2</f>
        <v>960.96</v>
      </c>
      <c r="L2" s="10" t="n">
        <v>12</v>
      </c>
      <c r="M2" s="10" t="n">
        <v>28</v>
      </c>
      <c r="N2" s="10" t="n">
        <f aca="false">(2.8+2.5+2.1)</f>
        <v>7.4</v>
      </c>
      <c r="O2" s="10" t="n">
        <f aca="false">0.888*N2*M2*B2</f>
        <v>367.9872</v>
      </c>
    </row>
    <row r="3" customFormat="false" ht="14.25" hidden="false" customHeight="true" outlineLevel="0" collapsed="false">
      <c r="A3" s="10" t="s">
        <v>1156</v>
      </c>
      <c r="B3" s="10" t="n">
        <v>2</v>
      </c>
      <c r="C3" s="10" t="n">
        <v>0.5</v>
      </c>
      <c r="D3" s="10" t="n">
        <v>0.8</v>
      </c>
      <c r="E3" s="10" t="n">
        <v>4.2</v>
      </c>
      <c r="F3" s="10" t="n">
        <f aca="false">B3*C3*D3*E3</f>
        <v>3.36</v>
      </c>
      <c r="G3" s="10" t="n">
        <f aca="false">((C3+D3)*2)*E3*B3</f>
        <v>21.84</v>
      </c>
      <c r="H3" s="10" t="n">
        <v>25</v>
      </c>
      <c r="I3" s="10" t="n">
        <v>24</v>
      </c>
      <c r="J3" s="10" t="n">
        <f aca="false">4.2+1</f>
        <v>5.2</v>
      </c>
      <c r="K3" s="10" t="n">
        <f aca="false">3.85*I3*B3*J3</f>
        <v>960.96</v>
      </c>
      <c r="L3" s="10" t="n">
        <v>12</v>
      </c>
      <c r="M3" s="10" t="n">
        <v>28</v>
      </c>
      <c r="N3" s="10" t="n">
        <v>6.1</v>
      </c>
      <c r="O3" s="10" t="n">
        <f aca="false">0.888*N3*M3*B3</f>
        <v>303.3408</v>
      </c>
    </row>
    <row r="4" customFormat="false" ht="14.25" hidden="false" customHeight="true" outlineLevel="0" collapsed="false">
      <c r="A4" s="10" t="s">
        <v>1157</v>
      </c>
      <c r="B4" s="10" t="n">
        <v>4</v>
      </c>
      <c r="C4" s="10" t="n">
        <v>0.8</v>
      </c>
      <c r="D4" s="10" t="n">
        <v>0.8</v>
      </c>
      <c r="E4" s="10" t="n">
        <v>4.2</v>
      </c>
      <c r="F4" s="10" t="n">
        <f aca="false">B4*C4*D4*E4</f>
        <v>10.752</v>
      </c>
      <c r="G4" s="10" t="n">
        <f aca="false">((C4+D4)*2)*E4*B4</f>
        <v>53.76</v>
      </c>
      <c r="H4" s="10" t="n">
        <v>32</v>
      </c>
      <c r="I4" s="10" t="n">
        <v>24</v>
      </c>
      <c r="J4" s="10" t="n">
        <f aca="false">4.2+1</f>
        <v>5.2</v>
      </c>
      <c r="K4" s="10" t="n">
        <f aca="false">6.32*I4*B4*J4</f>
        <v>3154.944</v>
      </c>
      <c r="L4" s="10" t="n">
        <v>12</v>
      </c>
      <c r="M4" s="10" t="n">
        <v>28</v>
      </c>
      <c r="N4" s="10" t="n">
        <v>7.1</v>
      </c>
      <c r="O4" s="10" t="n">
        <f aca="false">0.888*N4*M4*B4</f>
        <v>706.1376</v>
      </c>
    </row>
    <row r="5" customFormat="false" ht="14.25" hidden="false" customHeight="true" outlineLevel="0" collapsed="false">
      <c r="A5" s="10" t="s">
        <v>1158</v>
      </c>
      <c r="B5" s="10" t="n">
        <v>4</v>
      </c>
      <c r="C5" s="10" t="n">
        <v>0.9</v>
      </c>
      <c r="D5" s="10" t="n">
        <v>0.9</v>
      </c>
      <c r="E5" s="10" t="n">
        <v>4.2</v>
      </c>
      <c r="F5" s="10" t="n">
        <f aca="false">B5*C5*D5*E5</f>
        <v>13.608</v>
      </c>
      <c r="G5" s="10" t="n">
        <f aca="false">((C5+D5)*2)*E5*B5</f>
        <v>60.48</v>
      </c>
      <c r="H5" s="10" t="n">
        <v>32</v>
      </c>
      <c r="I5" s="10" t="n">
        <v>24</v>
      </c>
      <c r="J5" s="10" t="n">
        <f aca="false">4.2+1</f>
        <v>5.2</v>
      </c>
      <c r="K5" s="10" t="n">
        <f aca="false">6.32*I5*B5*J5</f>
        <v>3154.944</v>
      </c>
      <c r="L5" s="10" t="n">
        <v>12</v>
      </c>
      <c r="M5" s="10" t="n">
        <v>28</v>
      </c>
      <c r="N5" s="10" t="n">
        <v>8.4</v>
      </c>
      <c r="O5" s="10" t="n">
        <f aca="false">0.888*N5*M5*B5</f>
        <v>835.4304</v>
      </c>
    </row>
    <row r="6" customFormat="false" ht="14.25" hidden="false" customHeight="true" outlineLevel="0" collapsed="false">
      <c r="A6" s="10" t="s">
        <v>1159</v>
      </c>
      <c r="B6" s="10" t="n">
        <v>4</v>
      </c>
      <c r="C6" s="10" t="n">
        <v>0.9</v>
      </c>
      <c r="D6" s="10" t="n">
        <v>0.9</v>
      </c>
      <c r="E6" s="10" t="n">
        <v>4.2</v>
      </c>
      <c r="F6" s="10" t="n">
        <f aca="false">B6*C6*D6*E6</f>
        <v>13.608</v>
      </c>
      <c r="G6" s="10" t="n">
        <f aca="false">((C6+D6)*2)*E6*B6</f>
        <v>60.48</v>
      </c>
      <c r="H6" s="10" t="n">
        <v>32</v>
      </c>
      <c r="I6" s="10" t="n">
        <v>32</v>
      </c>
      <c r="J6" s="10" t="n">
        <f aca="false">4.2+1</f>
        <v>5.2</v>
      </c>
      <c r="K6" s="10" t="n">
        <f aca="false">6.32*I6*B6*J6</f>
        <v>4206.592</v>
      </c>
      <c r="L6" s="10" t="n">
        <v>12</v>
      </c>
      <c r="M6" s="10" t="n">
        <v>28</v>
      </c>
      <c r="N6" s="10" t="n">
        <v>8.53</v>
      </c>
      <c r="O6" s="10" t="n">
        <f aca="false">0.888*N6*M6*B6</f>
        <v>848.35968</v>
      </c>
    </row>
    <row r="7" customFormat="false" ht="14.25" hidden="false" customHeight="true" outlineLevel="0" collapsed="false">
      <c r="F7" s="10" t="n">
        <f aca="false">SUM(F2:F6)</f>
        <v>45.864</v>
      </c>
      <c r="G7" s="10" t="n">
        <f aca="false">SUM(G2:G6)</f>
        <v>221.76</v>
      </c>
      <c r="O7" s="10" t="n">
        <f aca="false">SUM(O2:O6)</f>
        <v>3061.25568</v>
      </c>
    </row>
    <row r="9" customFormat="false" ht="14.25" hidden="false" customHeight="true" outlineLevel="0" collapsed="false">
      <c r="H9" s="10" t="n">
        <v>12</v>
      </c>
      <c r="I9" s="10" t="n">
        <f aca="false">O7</f>
        <v>3061.25568</v>
      </c>
    </row>
    <row r="10" customFormat="false" ht="14.25" hidden="false" customHeight="true" outlineLevel="0" collapsed="false">
      <c r="H10" s="10" t="n">
        <v>25</v>
      </c>
      <c r="I10" s="10" t="n">
        <f aca="false">K2+K3</f>
        <v>1921.92</v>
      </c>
    </row>
    <row r="11" customFormat="false" ht="14.25" hidden="false" customHeight="true" outlineLevel="0" collapsed="false">
      <c r="H11" s="10" t="n">
        <v>32</v>
      </c>
      <c r="I11" s="10" t="n">
        <f aca="false">K4+K5+K6</f>
        <v>10516.48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  <col collapsed="false" customWidth="true" hidden="false" outlineLevel="0" max="3" min="3" style="10" width="9.71"/>
    <col collapsed="false" customWidth="true" hidden="false" outlineLevel="0" max="4" min="4" style="10" width="10.57"/>
    <col collapsed="false" customWidth="true" hidden="false" outlineLevel="0" max="5" min="5" style="10" width="10.42"/>
    <col collapsed="false" customWidth="true" hidden="false" outlineLevel="0" max="6" min="6" style="10" width="13.71"/>
    <col collapsed="false" customWidth="true" hidden="false" outlineLevel="0" max="7" min="7" style="10" width="14.71"/>
    <col collapsed="false" customWidth="true" hidden="false" outlineLevel="0" max="8" min="8" style="10" width="16.43"/>
    <col collapsed="false" customWidth="true" hidden="false" outlineLevel="0" max="9" min="9" style="10" width="16.14"/>
    <col collapsed="false" customWidth="true" hidden="false" outlineLevel="0" max="10" min="10" style="10" width="16.29"/>
    <col collapsed="false" customWidth="true" hidden="false" outlineLevel="0" max="11" min="11" style="10" width="19.42"/>
    <col collapsed="false" customWidth="true" hidden="false" outlineLevel="0" max="12" min="12" style="10" width="15.71"/>
    <col collapsed="false" customWidth="true" hidden="false" outlineLevel="0" max="13" min="13" style="10" width="19.29"/>
    <col collapsed="false" customWidth="true" hidden="false" outlineLevel="0" max="14" min="14" style="10" width="16.84"/>
    <col collapsed="false" customWidth="true" hidden="false" outlineLevel="0" max="15" min="15" style="10" width="17.71"/>
  </cols>
  <sheetData>
    <row r="1" customFormat="false" ht="14.25" hidden="false" customHeight="true" outlineLevel="0" collapsed="false">
      <c r="A1" s="10" t="s">
        <v>189</v>
      </c>
      <c r="B1" s="119" t="s">
        <v>1147</v>
      </c>
      <c r="C1" s="119" t="s">
        <v>1160</v>
      </c>
      <c r="D1" s="119" t="s">
        <v>1127</v>
      </c>
      <c r="E1" s="119" t="s">
        <v>1161</v>
      </c>
      <c r="F1" s="119" t="s">
        <v>1067</v>
      </c>
      <c r="G1" s="119" t="s">
        <v>1066</v>
      </c>
      <c r="H1" s="119" t="s">
        <v>1148</v>
      </c>
      <c r="I1" s="119" t="s">
        <v>1149</v>
      </c>
      <c r="J1" s="119" t="s">
        <v>1143</v>
      </c>
      <c r="K1" s="119" t="s">
        <v>1150</v>
      </c>
      <c r="L1" s="119" t="s">
        <v>1151</v>
      </c>
      <c r="M1" s="119" t="s">
        <v>1152</v>
      </c>
      <c r="N1" s="119" t="s">
        <v>1153</v>
      </c>
      <c r="O1" s="119" t="s">
        <v>1154</v>
      </c>
    </row>
    <row r="2" customFormat="false" ht="14.25" hidden="false" customHeight="true" outlineLevel="0" collapsed="false">
      <c r="A2" s="10" t="s">
        <v>1155</v>
      </c>
      <c r="B2" s="10" t="n">
        <v>2</v>
      </c>
      <c r="C2" s="10" t="n">
        <v>0.5</v>
      </c>
      <c r="D2" s="10" t="n">
        <v>0.8</v>
      </c>
      <c r="E2" s="10" t="n">
        <v>4.2</v>
      </c>
      <c r="F2" s="10" t="n">
        <f aca="false">B2*C2*D2*E2</f>
        <v>3.36</v>
      </c>
      <c r="G2" s="10" t="n">
        <f aca="false">((C2+D2)*2)*E2*B2</f>
        <v>21.84</v>
      </c>
      <c r="H2" s="10" t="n">
        <v>20</v>
      </c>
      <c r="I2" s="10" t="n">
        <v>24</v>
      </c>
      <c r="J2" s="10" t="n">
        <f aca="false">4.2+1</f>
        <v>5.2</v>
      </c>
      <c r="K2" s="10" t="n">
        <f aca="false">2.466*I2*B2*J2</f>
        <v>615.5136</v>
      </c>
      <c r="L2" s="10" t="n">
        <v>12</v>
      </c>
      <c r="M2" s="10" t="n">
        <v>28</v>
      </c>
      <c r="N2" s="10" t="n">
        <f aca="false">(2.3+2.1+1.6)</f>
        <v>6</v>
      </c>
      <c r="O2" s="10" t="n">
        <f aca="false">0.888*N2*M2*B2</f>
        <v>298.368</v>
      </c>
    </row>
    <row r="3" customFormat="false" ht="14.25" hidden="false" customHeight="true" outlineLevel="0" collapsed="false">
      <c r="A3" s="10" t="s">
        <v>1156</v>
      </c>
      <c r="B3" s="10" t="n">
        <v>2</v>
      </c>
      <c r="C3" s="10" t="n">
        <v>0.5</v>
      </c>
      <c r="D3" s="10" t="n">
        <v>0.8</v>
      </c>
      <c r="E3" s="10" t="n">
        <v>4.2</v>
      </c>
      <c r="F3" s="10" t="n">
        <f aca="false">B3*C3*D3*E3</f>
        <v>3.36</v>
      </c>
      <c r="G3" s="10" t="n">
        <f aca="false">((C3+D3)*2)*E3*B3</f>
        <v>21.84</v>
      </c>
      <c r="H3" s="10" t="n">
        <v>20</v>
      </c>
      <c r="I3" s="10" t="n">
        <v>24</v>
      </c>
      <c r="J3" s="10" t="n">
        <f aca="false">4.2+1</f>
        <v>5.2</v>
      </c>
      <c r="K3" s="10" t="n">
        <f aca="false">2.466*I3*B3*J3</f>
        <v>615.5136</v>
      </c>
      <c r="L3" s="10" t="n">
        <v>12</v>
      </c>
      <c r="M3" s="10" t="n">
        <v>28</v>
      </c>
      <c r="N3" s="10" t="n">
        <v>6.1</v>
      </c>
      <c r="O3" s="10" t="n">
        <f aca="false">0.888*N3*M3*B3</f>
        <v>303.3408</v>
      </c>
    </row>
    <row r="4" customFormat="false" ht="14.25" hidden="false" customHeight="true" outlineLevel="0" collapsed="false">
      <c r="A4" s="10" t="s">
        <v>1157</v>
      </c>
      <c r="B4" s="10" t="n">
        <v>4</v>
      </c>
      <c r="C4" s="10" t="n">
        <v>0.8</v>
      </c>
      <c r="D4" s="10" t="n">
        <v>0.8</v>
      </c>
      <c r="E4" s="10" t="n">
        <v>4.2</v>
      </c>
      <c r="F4" s="10" t="n">
        <f aca="false">B4*C4*D4*E4</f>
        <v>10.752</v>
      </c>
      <c r="G4" s="10" t="n">
        <f aca="false">((C4+D4)*2)*E4*B4</f>
        <v>53.76</v>
      </c>
      <c r="H4" s="10" t="n">
        <v>25</v>
      </c>
      <c r="I4" s="10" t="n">
        <v>24</v>
      </c>
      <c r="J4" s="10" t="n">
        <f aca="false">4.2+1</f>
        <v>5.2</v>
      </c>
      <c r="K4" s="10" t="n">
        <f aca="false">3.583*I4*B4*J4</f>
        <v>1788.6336</v>
      </c>
      <c r="L4" s="10" t="n">
        <v>12</v>
      </c>
      <c r="M4" s="10" t="n">
        <v>28</v>
      </c>
      <c r="N4" s="10" t="n">
        <v>7.1</v>
      </c>
      <c r="O4" s="10" t="n">
        <f aca="false">0.888*N4*M4*B4</f>
        <v>706.1376</v>
      </c>
    </row>
    <row r="5" customFormat="false" ht="14.25" hidden="false" customHeight="true" outlineLevel="0" collapsed="false">
      <c r="A5" s="10" t="s">
        <v>1158</v>
      </c>
      <c r="B5" s="10" t="n">
        <v>4</v>
      </c>
      <c r="C5" s="10" t="n">
        <v>0.8</v>
      </c>
      <c r="D5" s="10" t="n">
        <v>0.8</v>
      </c>
      <c r="E5" s="10" t="n">
        <v>4.2</v>
      </c>
      <c r="F5" s="10" t="n">
        <f aca="false">B5*C5*D5*E5</f>
        <v>10.752</v>
      </c>
      <c r="G5" s="10" t="n">
        <f aca="false">((C5+D5)*2)*E5*B5</f>
        <v>53.76</v>
      </c>
      <c r="H5" s="10" t="n">
        <v>25</v>
      </c>
      <c r="I5" s="10" t="n">
        <v>24</v>
      </c>
      <c r="J5" s="10" t="n">
        <f aca="false">4.2+1</f>
        <v>5.2</v>
      </c>
      <c r="K5" s="10" t="n">
        <f aca="false">3.583*I5*B5*J5</f>
        <v>1788.6336</v>
      </c>
      <c r="L5" s="10" t="n">
        <v>12</v>
      </c>
      <c r="M5" s="10" t="n">
        <v>28</v>
      </c>
      <c r="N5" s="10" t="n">
        <f aca="false">2.9+2.1+2.1</f>
        <v>7.1</v>
      </c>
      <c r="O5" s="10" t="n">
        <f aca="false">0.888*N5*M5*B5</f>
        <v>706.1376</v>
      </c>
    </row>
    <row r="6" customFormat="false" ht="14.25" hidden="false" customHeight="true" outlineLevel="0" collapsed="false">
      <c r="A6" s="10" t="s">
        <v>1159</v>
      </c>
      <c r="B6" s="10" t="n">
        <v>4</v>
      </c>
      <c r="C6" s="10" t="n">
        <v>0.8</v>
      </c>
      <c r="D6" s="10" t="n">
        <v>0.8</v>
      </c>
      <c r="E6" s="10" t="n">
        <v>4.2</v>
      </c>
      <c r="F6" s="10" t="n">
        <f aca="false">B6*C6*D6*E6</f>
        <v>10.752</v>
      </c>
      <c r="G6" s="10" t="n">
        <f aca="false">((C6+D6)*2)*E6*B6</f>
        <v>53.76</v>
      </c>
      <c r="H6" s="10" t="n">
        <v>25</v>
      </c>
      <c r="I6" s="10" t="n">
        <v>24</v>
      </c>
      <c r="J6" s="10" t="n">
        <f aca="false">4.2+1</f>
        <v>5.2</v>
      </c>
      <c r="K6" s="10" t="n">
        <f aca="false">3.583*I6*B6*J6</f>
        <v>1788.6336</v>
      </c>
      <c r="L6" s="10" t="n">
        <v>12</v>
      </c>
      <c r="M6" s="10" t="n">
        <v>28</v>
      </c>
      <c r="N6" s="10" t="n">
        <f aca="false">2.9+2.1+2.1</f>
        <v>7.1</v>
      </c>
      <c r="O6" s="10" t="n">
        <f aca="false">0.888*N6*M6*B6</f>
        <v>706.1376</v>
      </c>
    </row>
    <row r="7" customFormat="false" ht="14.25" hidden="false" customHeight="true" outlineLevel="0" collapsed="false">
      <c r="F7" s="10" t="n">
        <f aca="false">SUM(F2:F6)</f>
        <v>38.976</v>
      </c>
      <c r="G7" s="10" t="n">
        <f aca="false">SUM(G2:G6)</f>
        <v>204.96</v>
      </c>
      <c r="O7" s="10" t="n">
        <f aca="false">SUM(O2:O6)</f>
        <v>2720.1216</v>
      </c>
    </row>
    <row r="9" customFormat="false" ht="14.25" hidden="false" customHeight="true" outlineLevel="0" collapsed="false">
      <c r="H9" s="10" t="n">
        <v>12</v>
      </c>
      <c r="I9" s="10" t="n">
        <f aca="false">O7</f>
        <v>2720.1216</v>
      </c>
    </row>
    <row r="10" customFormat="false" ht="14.25" hidden="false" customHeight="true" outlineLevel="0" collapsed="false">
      <c r="H10" s="10" t="n">
        <v>20</v>
      </c>
      <c r="I10" s="10" t="n">
        <f aca="false">K2+K3</f>
        <v>1231.0272</v>
      </c>
    </row>
    <row r="11" customFormat="false" ht="14.25" hidden="false" customHeight="true" outlineLevel="0" collapsed="false">
      <c r="H11" s="10" t="n">
        <v>25</v>
      </c>
      <c r="I11" s="10" t="n">
        <f aca="false">K4+K5+K6</f>
        <v>5365.9008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2" activeCellId="0" sqref="D32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  <col collapsed="false" customWidth="true" hidden="false" outlineLevel="0" max="3" min="3" style="10" width="9.71"/>
    <col collapsed="false" customWidth="true" hidden="false" outlineLevel="0" max="4" min="4" style="10" width="10.57"/>
    <col collapsed="false" customWidth="true" hidden="false" outlineLevel="0" max="5" min="5" style="10" width="10.42"/>
    <col collapsed="false" customWidth="true" hidden="false" outlineLevel="0" max="6" min="6" style="10" width="13.71"/>
    <col collapsed="false" customWidth="true" hidden="false" outlineLevel="0" max="7" min="7" style="10" width="14.71"/>
    <col collapsed="false" customWidth="true" hidden="false" outlineLevel="0" max="8" min="8" style="10" width="16.43"/>
    <col collapsed="false" customWidth="true" hidden="false" outlineLevel="0" max="9" min="9" style="10" width="16.14"/>
    <col collapsed="false" customWidth="true" hidden="false" outlineLevel="0" max="10" min="10" style="10" width="16.29"/>
    <col collapsed="false" customWidth="true" hidden="false" outlineLevel="0" max="11" min="11" style="10" width="19.42"/>
    <col collapsed="false" customWidth="true" hidden="false" outlineLevel="0" max="12" min="12" style="10" width="15.71"/>
    <col collapsed="false" customWidth="true" hidden="false" outlineLevel="0" max="13" min="13" style="10" width="19.29"/>
    <col collapsed="false" customWidth="true" hidden="false" outlineLevel="0" max="14" min="14" style="10" width="16.84"/>
    <col collapsed="false" customWidth="true" hidden="false" outlineLevel="0" max="15" min="15" style="10" width="17.71"/>
  </cols>
  <sheetData>
    <row r="1" customFormat="false" ht="14.25" hidden="false" customHeight="true" outlineLevel="0" collapsed="false">
      <c r="A1" s="10" t="s">
        <v>189</v>
      </c>
      <c r="B1" s="119" t="s">
        <v>1147</v>
      </c>
      <c r="C1" s="119" t="s">
        <v>1160</v>
      </c>
      <c r="D1" s="119" t="s">
        <v>1127</v>
      </c>
      <c r="E1" s="119" t="s">
        <v>1161</v>
      </c>
      <c r="F1" s="119" t="s">
        <v>1067</v>
      </c>
      <c r="G1" s="119" t="s">
        <v>1066</v>
      </c>
      <c r="H1" s="119" t="s">
        <v>1148</v>
      </c>
      <c r="I1" s="119" t="s">
        <v>1149</v>
      </c>
      <c r="J1" s="119" t="s">
        <v>1143</v>
      </c>
      <c r="K1" s="119" t="s">
        <v>1150</v>
      </c>
      <c r="L1" s="119" t="s">
        <v>1151</v>
      </c>
      <c r="M1" s="119" t="s">
        <v>1152</v>
      </c>
      <c r="N1" s="119" t="s">
        <v>1153</v>
      </c>
      <c r="O1" s="119" t="s">
        <v>1154</v>
      </c>
    </row>
    <row r="2" customFormat="false" ht="14.25" hidden="false" customHeight="true" outlineLevel="0" collapsed="false">
      <c r="A2" s="10" t="s">
        <v>1155</v>
      </c>
      <c r="B2" s="10" t="n">
        <v>2</v>
      </c>
      <c r="C2" s="10" t="n">
        <v>0.5</v>
      </c>
      <c r="D2" s="10" t="n">
        <v>0.8</v>
      </c>
      <c r="E2" s="10" t="n">
        <v>4.2</v>
      </c>
      <c r="F2" s="10" t="n">
        <f aca="false">B2*C2*D2*E2</f>
        <v>3.36</v>
      </c>
      <c r="G2" s="10" t="n">
        <f aca="false">((C2+D2)*2)*E2*B2</f>
        <v>21.84</v>
      </c>
      <c r="H2" s="10" t="n">
        <v>20</v>
      </c>
      <c r="I2" s="10" t="n">
        <v>24</v>
      </c>
      <c r="J2" s="10" t="n">
        <f aca="false">4.2+1</f>
        <v>5.2</v>
      </c>
      <c r="K2" s="10" t="n">
        <f aca="false">2.466*I2*B2*J2</f>
        <v>615.5136</v>
      </c>
      <c r="L2" s="10" t="n">
        <v>10</v>
      </c>
      <c r="M2" s="10" t="n">
        <v>28</v>
      </c>
      <c r="N2" s="10" t="n">
        <f aca="false">(2.3+2.1+1.6)</f>
        <v>6</v>
      </c>
      <c r="O2" s="10" t="n">
        <f aca="false">0.617*N2*M2*B2</f>
        <v>207.312</v>
      </c>
    </row>
    <row r="3" customFormat="false" ht="14.25" hidden="false" customHeight="true" outlineLevel="0" collapsed="false">
      <c r="A3" s="10" t="s">
        <v>1156</v>
      </c>
      <c r="B3" s="10" t="n">
        <v>2</v>
      </c>
      <c r="C3" s="10" t="n">
        <v>0.5</v>
      </c>
      <c r="D3" s="10" t="n">
        <v>0.8</v>
      </c>
      <c r="E3" s="10" t="n">
        <v>4.2</v>
      </c>
      <c r="F3" s="10" t="n">
        <f aca="false">B3*C3*D3*E3</f>
        <v>3.36</v>
      </c>
      <c r="G3" s="10" t="n">
        <f aca="false">((C3+D3)*2)*E3*B3</f>
        <v>21.84</v>
      </c>
      <c r="H3" s="10" t="n">
        <v>20</v>
      </c>
      <c r="I3" s="10" t="n">
        <v>24</v>
      </c>
      <c r="J3" s="10" t="n">
        <f aca="false">4.2+1</f>
        <v>5.2</v>
      </c>
      <c r="K3" s="10" t="n">
        <f aca="false">2.466*I3*B3*J3</f>
        <v>615.5136</v>
      </c>
      <c r="L3" s="10" t="n">
        <v>10</v>
      </c>
      <c r="M3" s="10" t="n">
        <v>28</v>
      </c>
      <c r="N3" s="10" t="n">
        <v>6.1</v>
      </c>
      <c r="O3" s="10" t="n">
        <f aca="false">0.617*N3*M3*B3</f>
        <v>210.7672</v>
      </c>
    </row>
    <row r="4" customFormat="false" ht="14.25" hidden="false" customHeight="true" outlineLevel="0" collapsed="false">
      <c r="A4" s="10" t="s">
        <v>1157</v>
      </c>
      <c r="B4" s="10" t="n">
        <v>4</v>
      </c>
      <c r="C4" s="10" t="n">
        <v>0.8</v>
      </c>
      <c r="D4" s="10" t="n">
        <v>0.8</v>
      </c>
      <c r="E4" s="10" t="n">
        <v>4.2</v>
      </c>
      <c r="F4" s="10" t="n">
        <f aca="false">B4*C4*D4*E4</f>
        <v>10.752</v>
      </c>
      <c r="G4" s="10" t="n">
        <f aca="false">((C4+D4)*2)*E4*B4</f>
        <v>53.76</v>
      </c>
      <c r="H4" s="10" t="n">
        <v>25</v>
      </c>
      <c r="I4" s="10" t="n">
        <v>24</v>
      </c>
      <c r="J4" s="10" t="n">
        <f aca="false">4.2+1</f>
        <v>5.2</v>
      </c>
      <c r="K4" s="10" t="n">
        <f aca="false">3.583*I4*B4*J4</f>
        <v>1788.6336</v>
      </c>
      <c r="L4" s="10" t="n">
        <v>12</v>
      </c>
      <c r="M4" s="10" t="n">
        <v>28</v>
      </c>
      <c r="N4" s="10" t="n">
        <v>7.1</v>
      </c>
      <c r="O4" s="10" t="n">
        <f aca="false">0.888*N4*M4*B4</f>
        <v>706.1376</v>
      </c>
    </row>
    <row r="5" customFormat="false" ht="14.25" hidden="false" customHeight="true" outlineLevel="0" collapsed="false">
      <c r="A5" s="10" t="s">
        <v>1158</v>
      </c>
      <c r="B5" s="10" t="n">
        <v>4</v>
      </c>
      <c r="C5" s="10" t="n">
        <v>0.8</v>
      </c>
      <c r="D5" s="10" t="n">
        <v>0.8</v>
      </c>
      <c r="E5" s="10" t="n">
        <v>4.2</v>
      </c>
      <c r="F5" s="10" t="n">
        <f aca="false">B5*C5*D5*E5</f>
        <v>10.752</v>
      </c>
      <c r="G5" s="10" t="n">
        <f aca="false">((C5+D5)*2)*E5*B5</f>
        <v>53.76</v>
      </c>
      <c r="H5" s="10" t="n">
        <v>25</v>
      </c>
      <c r="I5" s="10" t="n">
        <v>24</v>
      </c>
      <c r="J5" s="10" t="n">
        <f aca="false">4.2+1</f>
        <v>5.2</v>
      </c>
      <c r="K5" s="10" t="n">
        <f aca="false">3.583*I5*B5*J5</f>
        <v>1788.6336</v>
      </c>
      <c r="L5" s="10" t="n">
        <v>12</v>
      </c>
      <c r="M5" s="10" t="n">
        <v>28</v>
      </c>
      <c r="N5" s="10" t="n">
        <f aca="false">2.9+2.1+2.1</f>
        <v>7.1</v>
      </c>
      <c r="O5" s="10" t="n">
        <f aca="false">0.888*N5*M5*B5</f>
        <v>706.1376</v>
      </c>
    </row>
    <row r="6" customFormat="false" ht="14.25" hidden="false" customHeight="true" outlineLevel="0" collapsed="false">
      <c r="A6" s="10" t="s">
        <v>1159</v>
      </c>
      <c r="B6" s="10" t="n">
        <v>4</v>
      </c>
      <c r="C6" s="10" t="n">
        <v>0.8</v>
      </c>
      <c r="D6" s="10" t="n">
        <v>0.8</v>
      </c>
      <c r="E6" s="10" t="n">
        <v>4.2</v>
      </c>
      <c r="F6" s="10" t="n">
        <f aca="false">B6*C6*D6*E6</f>
        <v>10.752</v>
      </c>
      <c r="G6" s="10" t="n">
        <f aca="false">((C6+D6)*2)*E6*B6</f>
        <v>53.76</v>
      </c>
      <c r="H6" s="10" t="n">
        <v>25</v>
      </c>
      <c r="I6" s="10" t="n">
        <v>24</v>
      </c>
      <c r="J6" s="10" t="n">
        <f aca="false">4.2+1</f>
        <v>5.2</v>
      </c>
      <c r="K6" s="10" t="n">
        <f aca="false">3.583*I6*B6*J6</f>
        <v>1788.6336</v>
      </c>
      <c r="L6" s="10" t="n">
        <v>12</v>
      </c>
      <c r="M6" s="10" t="n">
        <v>28</v>
      </c>
      <c r="N6" s="10" t="n">
        <f aca="false">2.9+2.1+2.1</f>
        <v>7.1</v>
      </c>
      <c r="O6" s="10" t="n">
        <f aca="false">0.888*N6*M6*B6</f>
        <v>706.1376</v>
      </c>
    </row>
    <row r="7" customFormat="false" ht="14.25" hidden="false" customHeight="true" outlineLevel="0" collapsed="false">
      <c r="F7" s="10" t="n">
        <f aca="false">SUM(F2:F6)</f>
        <v>38.976</v>
      </c>
      <c r="G7" s="10" t="n">
        <f aca="false">SUM(G2:G6)</f>
        <v>204.96</v>
      </c>
    </row>
    <row r="9" customFormat="false" ht="14.25" hidden="false" customHeight="true" outlineLevel="0" collapsed="false">
      <c r="H9" s="10" t="n">
        <v>10</v>
      </c>
      <c r="I9" s="10" t="n">
        <f aca="false">O2+O3</f>
        <v>418.0792</v>
      </c>
    </row>
    <row r="10" customFormat="false" ht="14.25" hidden="false" customHeight="true" outlineLevel="0" collapsed="false">
      <c r="H10" s="10" t="n">
        <v>12</v>
      </c>
      <c r="I10" s="10" t="n">
        <f aca="false">O4+O5+O6</f>
        <v>2118.4128</v>
      </c>
    </row>
    <row r="11" customFormat="false" ht="14.25" hidden="false" customHeight="true" outlineLevel="0" collapsed="false">
      <c r="H11" s="10" t="n">
        <v>20</v>
      </c>
      <c r="I11" s="10" t="n">
        <f aca="false">K2+K3</f>
        <v>1231.0272</v>
      </c>
    </row>
    <row r="12" customFormat="false" ht="14.25" hidden="false" customHeight="true" outlineLevel="0" collapsed="false">
      <c r="H12" s="10" t="n">
        <v>25</v>
      </c>
      <c r="I12" s="10" t="n">
        <f aca="false">K4+K5+K6</f>
        <v>5365.9008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  <col collapsed="false" customWidth="true" hidden="false" outlineLevel="0" max="3" min="3" style="10" width="9.71"/>
    <col collapsed="false" customWidth="true" hidden="false" outlineLevel="0" max="4" min="4" style="10" width="10.57"/>
    <col collapsed="false" customWidth="true" hidden="false" outlineLevel="0" max="5" min="5" style="10" width="10.42"/>
    <col collapsed="false" customWidth="true" hidden="false" outlineLevel="0" max="6" min="6" style="10" width="13.71"/>
    <col collapsed="false" customWidth="true" hidden="false" outlineLevel="0" max="7" min="7" style="10" width="14.71"/>
    <col collapsed="false" customWidth="true" hidden="false" outlineLevel="0" max="8" min="8" style="10" width="16.43"/>
    <col collapsed="false" customWidth="true" hidden="false" outlineLevel="0" max="9" min="9" style="10" width="16.14"/>
    <col collapsed="false" customWidth="true" hidden="false" outlineLevel="0" max="10" min="10" style="10" width="16.29"/>
    <col collapsed="false" customWidth="true" hidden="false" outlineLevel="0" max="11" min="11" style="10" width="19.42"/>
    <col collapsed="false" customWidth="true" hidden="false" outlineLevel="0" max="12" min="12" style="10" width="15.71"/>
    <col collapsed="false" customWidth="true" hidden="false" outlineLevel="0" max="13" min="13" style="10" width="19.29"/>
    <col collapsed="false" customWidth="true" hidden="false" outlineLevel="0" max="14" min="14" style="10" width="16.84"/>
    <col collapsed="false" customWidth="true" hidden="false" outlineLevel="0" max="15" min="15" style="10" width="17.71"/>
  </cols>
  <sheetData>
    <row r="1" customFormat="false" ht="14.25" hidden="false" customHeight="true" outlineLevel="0" collapsed="false">
      <c r="A1" s="10" t="s">
        <v>189</v>
      </c>
      <c r="B1" s="119" t="s">
        <v>1147</v>
      </c>
      <c r="C1" s="119" t="s">
        <v>1160</v>
      </c>
      <c r="D1" s="119" t="s">
        <v>1127</v>
      </c>
      <c r="E1" s="119" t="s">
        <v>1161</v>
      </c>
      <c r="F1" s="119" t="s">
        <v>1067</v>
      </c>
      <c r="G1" s="119" t="s">
        <v>1066</v>
      </c>
      <c r="H1" s="119" t="s">
        <v>1148</v>
      </c>
      <c r="I1" s="119" t="s">
        <v>1149</v>
      </c>
      <c r="J1" s="119" t="s">
        <v>1143</v>
      </c>
      <c r="K1" s="119" t="s">
        <v>1150</v>
      </c>
      <c r="L1" s="119" t="s">
        <v>1151</v>
      </c>
      <c r="M1" s="119" t="s">
        <v>1152</v>
      </c>
      <c r="N1" s="119" t="s">
        <v>1153</v>
      </c>
      <c r="O1" s="119" t="s">
        <v>1154</v>
      </c>
    </row>
    <row r="2" customFormat="false" ht="14.25" hidden="false" customHeight="true" outlineLevel="0" collapsed="false">
      <c r="A2" s="10" t="s">
        <v>1155</v>
      </c>
      <c r="B2" s="10" t="n">
        <v>2</v>
      </c>
      <c r="C2" s="10" t="n">
        <v>0.5</v>
      </c>
      <c r="D2" s="10" t="n">
        <v>0.8</v>
      </c>
      <c r="E2" s="10" t="n">
        <v>4.2</v>
      </c>
      <c r="F2" s="10" t="n">
        <f aca="false">B2*C2*D2*E2</f>
        <v>3.36</v>
      </c>
      <c r="G2" s="10" t="n">
        <f aca="false">((C2+D2)*2)*E2*B2</f>
        <v>21.84</v>
      </c>
      <c r="H2" s="10" t="n">
        <v>20</v>
      </c>
      <c r="I2" s="10" t="n">
        <v>24</v>
      </c>
      <c r="J2" s="10" t="n">
        <f aca="false">4.2+1</f>
        <v>5.2</v>
      </c>
      <c r="K2" s="10" t="n">
        <f aca="false">2.466*I2*B2*J2</f>
        <v>615.5136</v>
      </c>
      <c r="L2" s="10" t="n">
        <v>10</v>
      </c>
      <c r="M2" s="10" t="n">
        <v>28</v>
      </c>
      <c r="N2" s="10" t="n">
        <f aca="false">(2.3+2.1+1.6)</f>
        <v>6</v>
      </c>
      <c r="O2" s="10" t="n">
        <f aca="false">0.617*N2*M2*B2</f>
        <v>207.312</v>
      </c>
    </row>
    <row r="3" customFormat="false" ht="14.25" hidden="false" customHeight="true" outlineLevel="0" collapsed="false">
      <c r="A3" s="10" t="s">
        <v>1156</v>
      </c>
      <c r="B3" s="10" t="n">
        <v>2</v>
      </c>
      <c r="C3" s="10" t="n">
        <v>0.5</v>
      </c>
      <c r="D3" s="10" t="n">
        <v>0.8</v>
      </c>
      <c r="E3" s="10" t="n">
        <v>4.2</v>
      </c>
      <c r="F3" s="10" t="n">
        <f aca="false">B3*C3*D3*E3</f>
        <v>3.36</v>
      </c>
      <c r="G3" s="10" t="n">
        <f aca="false">((C3+D3)*2)*E3*B3</f>
        <v>21.84</v>
      </c>
      <c r="H3" s="10" t="n">
        <v>20</v>
      </c>
      <c r="I3" s="10" t="n">
        <v>24</v>
      </c>
      <c r="J3" s="10" t="n">
        <f aca="false">4.2+1</f>
        <v>5.2</v>
      </c>
      <c r="K3" s="10" t="n">
        <f aca="false">2.466*I3*B3*J3</f>
        <v>615.5136</v>
      </c>
      <c r="L3" s="10" t="n">
        <v>10</v>
      </c>
      <c r="M3" s="10" t="n">
        <v>28</v>
      </c>
      <c r="N3" s="10" t="n">
        <v>6.1</v>
      </c>
      <c r="O3" s="10" t="n">
        <f aca="false">0.617*N3*M3*B3</f>
        <v>210.7672</v>
      </c>
    </row>
    <row r="4" customFormat="false" ht="14.25" hidden="false" customHeight="true" outlineLevel="0" collapsed="false">
      <c r="A4" s="10" t="s">
        <v>1157</v>
      </c>
      <c r="B4" s="10" t="n">
        <v>4</v>
      </c>
      <c r="C4" s="10" t="n">
        <v>0.8</v>
      </c>
      <c r="D4" s="10" t="n">
        <v>0.8</v>
      </c>
      <c r="E4" s="10" t="n">
        <v>4.2</v>
      </c>
      <c r="F4" s="10" t="n">
        <f aca="false">B4*C4*D4*E4</f>
        <v>10.752</v>
      </c>
      <c r="G4" s="10" t="n">
        <f aca="false">((C4+D4)*2)*E4*B4</f>
        <v>53.76</v>
      </c>
      <c r="H4" s="10" t="n">
        <v>25</v>
      </c>
      <c r="I4" s="10" t="n">
        <v>24</v>
      </c>
      <c r="J4" s="10" t="n">
        <f aca="false">4.2+1</f>
        <v>5.2</v>
      </c>
      <c r="K4" s="10" t="n">
        <f aca="false">3.583*I4*B4*J4</f>
        <v>1788.6336</v>
      </c>
      <c r="L4" s="10" t="n">
        <v>12</v>
      </c>
      <c r="M4" s="10" t="n">
        <v>28</v>
      </c>
      <c r="N4" s="10" t="n">
        <v>7.1</v>
      </c>
      <c r="O4" s="10" t="n">
        <f aca="false">0.888*N4*M4*B4</f>
        <v>706.1376</v>
      </c>
    </row>
    <row r="5" customFormat="false" ht="14.25" hidden="false" customHeight="true" outlineLevel="0" collapsed="false">
      <c r="A5" s="10" t="s">
        <v>1158</v>
      </c>
      <c r="B5" s="10" t="n">
        <v>4</v>
      </c>
      <c r="C5" s="10" t="n">
        <v>0.8</v>
      </c>
      <c r="D5" s="10" t="n">
        <v>0.8</v>
      </c>
      <c r="E5" s="10" t="n">
        <v>4.2</v>
      </c>
      <c r="F5" s="10" t="n">
        <f aca="false">B5*C5*D5*E5</f>
        <v>10.752</v>
      </c>
      <c r="G5" s="10" t="n">
        <f aca="false">((C5+D5)*2)*E5*B5</f>
        <v>53.76</v>
      </c>
      <c r="H5" s="10" t="n">
        <v>25</v>
      </c>
      <c r="I5" s="10" t="n">
        <v>24</v>
      </c>
      <c r="J5" s="10" t="n">
        <f aca="false">4.2+1</f>
        <v>5.2</v>
      </c>
      <c r="K5" s="10" t="n">
        <f aca="false">3.583*I5*B5*J5</f>
        <v>1788.6336</v>
      </c>
      <c r="L5" s="10" t="n">
        <v>12</v>
      </c>
      <c r="M5" s="10" t="n">
        <v>28</v>
      </c>
      <c r="N5" s="10" t="n">
        <f aca="false">2.9+2.1+2.1</f>
        <v>7.1</v>
      </c>
      <c r="O5" s="10" t="n">
        <f aca="false">0.888*N5*M5*B5</f>
        <v>706.1376</v>
      </c>
    </row>
    <row r="6" customFormat="false" ht="14.25" hidden="false" customHeight="true" outlineLevel="0" collapsed="false">
      <c r="A6" s="10" t="s">
        <v>1159</v>
      </c>
      <c r="B6" s="10" t="n">
        <v>4</v>
      </c>
      <c r="C6" s="10" t="n">
        <v>0.8</v>
      </c>
      <c r="D6" s="10" t="n">
        <v>0.8</v>
      </c>
      <c r="E6" s="10" t="n">
        <v>4.2</v>
      </c>
      <c r="F6" s="10" t="n">
        <f aca="false">B6*C6*D6*E6</f>
        <v>10.752</v>
      </c>
      <c r="G6" s="10" t="n">
        <f aca="false">((C6+D6)*2)*E6*B6</f>
        <v>53.76</v>
      </c>
      <c r="H6" s="10" t="n">
        <v>25</v>
      </c>
      <c r="I6" s="10" t="n">
        <v>24</v>
      </c>
      <c r="J6" s="10" t="n">
        <f aca="false">4.2+1</f>
        <v>5.2</v>
      </c>
      <c r="K6" s="10" t="n">
        <f aca="false">3.583*I6*B6*J6</f>
        <v>1788.6336</v>
      </c>
      <c r="L6" s="10" t="n">
        <v>12</v>
      </c>
      <c r="M6" s="10" t="n">
        <v>28</v>
      </c>
      <c r="N6" s="10" t="n">
        <f aca="false">2.9+2.1+2.1</f>
        <v>7.1</v>
      </c>
      <c r="O6" s="10" t="n">
        <f aca="false">0.888*N6*M6*B6</f>
        <v>706.1376</v>
      </c>
    </row>
    <row r="7" customFormat="false" ht="14.25" hidden="false" customHeight="true" outlineLevel="0" collapsed="false">
      <c r="F7" s="10" t="n">
        <f aca="false">SUM(F2:F6)</f>
        <v>38.976</v>
      </c>
      <c r="G7" s="10" t="n">
        <f aca="false">SUM(G2:G6)</f>
        <v>204.96</v>
      </c>
    </row>
    <row r="9" customFormat="false" ht="14.25" hidden="false" customHeight="true" outlineLevel="0" collapsed="false">
      <c r="H9" s="10" t="n">
        <v>10</v>
      </c>
      <c r="I9" s="10" t="n">
        <f aca="false">O2+O3</f>
        <v>418.0792</v>
      </c>
    </row>
    <row r="10" customFormat="false" ht="14.25" hidden="false" customHeight="true" outlineLevel="0" collapsed="false">
      <c r="H10" s="10" t="n">
        <v>12</v>
      </c>
      <c r="I10" s="10" t="n">
        <f aca="false">O4+O5+O6</f>
        <v>2118.4128</v>
      </c>
    </row>
    <row r="11" customFormat="false" ht="14.25" hidden="false" customHeight="true" outlineLevel="0" collapsed="false">
      <c r="H11" s="10" t="n">
        <v>20</v>
      </c>
      <c r="I11" s="10" t="n">
        <f aca="false">K2+K3</f>
        <v>1231.0272</v>
      </c>
    </row>
    <row r="12" customFormat="false" ht="14.25" hidden="false" customHeight="true" outlineLevel="0" collapsed="false">
      <c r="H12" s="10" t="n">
        <v>25</v>
      </c>
      <c r="I12" s="10" t="n">
        <f aca="false">K4+K5+K6</f>
        <v>5365.9008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  <col collapsed="false" customWidth="true" hidden="false" outlineLevel="0" max="3" min="3" style="10" width="9.71"/>
    <col collapsed="false" customWidth="true" hidden="false" outlineLevel="0" max="4" min="4" style="10" width="10.57"/>
    <col collapsed="false" customWidth="true" hidden="false" outlineLevel="0" max="5" min="5" style="10" width="10.42"/>
    <col collapsed="false" customWidth="true" hidden="false" outlineLevel="0" max="6" min="6" style="10" width="13.71"/>
    <col collapsed="false" customWidth="true" hidden="false" outlineLevel="0" max="7" min="7" style="10" width="14.71"/>
    <col collapsed="false" customWidth="true" hidden="false" outlineLevel="0" max="8" min="8" style="10" width="16.43"/>
    <col collapsed="false" customWidth="true" hidden="false" outlineLevel="0" max="9" min="9" style="10" width="16.14"/>
    <col collapsed="false" customWidth="true" hidden="false" outlineLevel="0" max="10" min="10" style="10" width="16.29"/>
    <col collapsed="false" customWidth="true" hidden="false" outlineLevel="0" max="11" min="11" style="10" width="19.42"/>
    <col collapsed="false" customWidth="true" hidden="false" outlineLevel="0" max="12" min="12" style="10" width="15.71"/>
    <col collapsed="false" customWidth="true" hidden="false" outlineLevel="0" max="13" min="13" style="10" width="19.29"/>
    <col collapsed="false" customWidth="true" hidden="false" outlineLevel="0" max="14" min="14" style="10" width="16.84"/>
    <col collapsed="false" customWidth="true" hidden="false" outlineLevel="0" max="15" min="15" style="10" width="17.71"/>
  </cols>
  <sheetData>
    <row r="1" customFormat="false" ht="14.25" hidden="false" customHeight="true" outlineLevel="0" collapsed="false">
      <c r="A1" s="10" t="s">
        <v>189</v>
      </c>
      <c r="B1" s="119" t="s">
        <v>1147</v>
      </c>
      <c r="C1" s="119" t="s">
        <v>1160</v>
      </c>
      <c r="D1" s="119" t="s">
        <v>1127</v>
      </c>
      <c r="E1" s="119" t="s">
        <v>1161</v>
      </c>
      <c r="F1" s="119" t="s">
        <v>1067</v>
      </c>
      <c r="G1" s="119" t="s">
        <v>1066</v>
      </c>
      <c r="H1" s="119" t="s">
        <v>1148</v>
      </c>
      <c r="I1" s="119" t="s">
        <v>1149</v>
      </c>
      <c r="J1" s="119" t="s">
        <v>1143</v>
      </c>
      <c r="K1" s="119" t="s">
        <v>1150</v>
      </c>
      <c r="L1" s="119" t="s">
        <v>1151</v>
      </c>
      <c r="M1" s="119" t="s">
        <v>1152</v>
      </c>
      <c r="N1" s="119" t="s">
        <v>1153</v>
      </c>
      <c r="O1" s="119" t="s">
        <v>1154</v>
      </c>
    </row>
    <row r="2" customFormat="false" ht="14.25" hidden="false" customHeight="true" outlineLevel="0" collapsed="false">
      <c r="A2" s="10" t="s">
        <v>1155</v>
      </c>
      <c r="B2" s="10" t="n">
        <v>2</v>
      </c>
      <c r="C2" s="10" t="n">
        <v>0.4</v>
      </c>
      <c r="D2" s="10" t="n">
        <v>0.8</v>
      </c>
      <c r="E2" s="10" t="n">
        <v>4.2</v>
      </c>
      <c r="F2" s="10" t="n">
        <f aca="false">B2*C2*D2*E2</f>
        <v>2.688</v>
      </c>
      <c r="G2" s="10" t="n">
        <f aca="false">((C2+D2)*2)*E2*B2</f>
        <v>20.16</v>
      </c>
      <c r="H2" s="10" t="n">
        <v>20</v>
      </c>
      <c r="I2" s="10" t="n">
        <v>20</v>
      </c>
      <c r="J2" s="10" t="n">
        <f aca="false">4.2+1</f>
        <v>5.2</v>
      </c>
      <c r="K2" s="10" t="n">
        <f aca="false">2.466*I2*B2*J2</f>
        <v>512.928</v>
      </c>
      <c r="L2" s="10" t="n">
        <v>10</v>
      </c>
      <c r="M2" s="10" t="n">
        <v>28</v>
      </c>
      <c r="N2" s="10" t="n">
        <f aca="false">(2.3+2.1+1.6)</f>
        <v>6</v>
      </c>
      <c r="O2" s="10" t="n">
        <f aca="false">0.617*N2*M2*B2</f>
        <v>207.312</v>
      </c>
    </row>
    <row r="3" customFormat="false" ht="14.25" hidden="false" customHeight="true" outlineLevel="0" collapsed="false">
      <c r="A3" s="10" t="s">
        <v>1156</v>
      </c>
      <c r="B3" s="10" t="n">
        <v>2</v>
      </c>
      <c r="C3" s="10" t="n">
        <v>0.5</v>
      </c>
      <c r="D3" s="10" t="n">
        <v>0.8</v>
      </c>
      <c r="E3" s="10" t="n">
        <v>4.2</v>
      </c>
      <c r="F3" s="10" t="n">
        <f aca="false">B3*C3*D3*E3</f>
        <v>3.36</v>
      </c>
      <c r="G3" s="10" t="n">
        <f aca="false">((C3+D3)*2)*E3*B3</f>
        <v>21.84</v>
      </c>
      <c r="H3" s="10" t="n">
        <v>20</v>
      </c>
      <c r="I3" s="10" t="n">
        <v>24</v>
      </c>
      <c r="J3" s="10" t="n">
        <f aca="false">4.2+1</f>
        <v>5.2</v>
      </c>
      <c r="K3" s="10" t="n">
        <f aca="false">2.466*I3*B3*J3</f>
        <v>615.5136</v>
      </c>
      <c r="L3" s="10" t="n">
        <v>10</v>
      </c>
      <c r="M3" s="10" t="n">
        <v>28</v>
      </c>
      <c r="N3" s="10" t="n">
        <v>6.1</v>
      </c>
      <c r="O3" s="10" t="n">
        <f aca="false">0.617*N3*M3*B3</f>
        <v>210.7672</v>
      </c>
    </row>
    <row r="4" customFormat="false" ht="14.25" hidden="false" customHeight="true" outlineLevel="0" collapsed="false">
      <c r="A4" s="10" t="s">
        <v>1157</v>
      </c>
      <c r="B4" s="10" t="n">
        <v>4</v>
      </c>
      <c r="C4" s="10" t="n">
        <v>0.8</v>
      </c>
      <c r="D4" s="10" t="n">
        <v>0.8</v>
      </c>
      <c r="E4" s="10" t="n">
        <v>4.2</v>
      </c>
      <c r="F4" s="10" t="n">
        <f aca="false">B4*C4*D4*E4</f>
        <v>10.752</v>
      </c>
      <c r="G4" s="10" t="n">
        <f aca="false">((C4+D4)*2)*E4*B4</f>
        <v>53.76</v>
      </c>
      <c r="H4" s="10" t="n">
        <v>20</v>
      </c>
      <c r="I4" s="10" t="n">
        <v>24</v>
      </c>
      <c r="J4" s="10" t="n">
        <f aca="false">4.2+1</f>
        <v>5.2</v>
      </c>
      <c r="K4" s="10" t="n">
        <f aca="false">2.466*I4*B4*J4</f>
        <v>1231.0272</v>
      </c>
      <c r="L4" s="10" t="n">
        <v>10</v>
      </c>
      <c r="M4" s="10" t="n">
        <v>28</v>
      </c>
      <c r="N4" s="10" t="n">
        <v>7.1</v>
      </c>
      <c r="O4" s="10" t="n">
        <f aca="false">0.617*N4*M4*B4</f>
        <v>490.6384</v>
      </c>
    </row>
    <row r="5" customFormat="false" ht="14.25" hidden="false" customHeight="true" outlineLevel="0" collapsed="false">
      <c r="A5" s="10" t="s">
        <v>1158</v>
      </c>
      <c r="B5" s="10" t="n">
        <v>4</v>
      </c>
      <c r="C5" s="10" t="n">
        <v>0.8</v>
      </c>
      <c r="D5" s="10" t="n">
        <v>0.8</v>
      </c>
      <c r="E5" s="10" t="n">
        <v>4.2</v>
      </c>
      <c r="F5" s="10" t="n">
        <f aca="false">B5*C5*D5*E5</f>
        <v>10.752</v>
      </c>
      <c r="G5" s="10" t="n">
        <f aca="false">((C5+D5)*2)*E5*B5</f>
        <v>53.76</v>
      </c>
      <c r="H5" s="10" t="n">
        <v>20</v>
      </c>
      <c r="I5" s="10" t="n">
        <v>24</v>
      </c>
      <c r="J5" s="10" t="n">
        <f aca="false">4.2+1</f>
        <v>5.2</v>
      </c>
      <c r="K5" s="10" t="n">
        <f aca="false">2.466*I5*B5*J5</f>
        <v>1231.0272</v>
      </c>
      <c r="L5" s="10" t="n">
        <v>10</v>
      </c>
      <c r="M5" s="10" t="n">
        <v>28</v>
      </c>
      <c r="N5" s="10" t="n">
        <f aca="false">2.9+2.1+2.1</f>
        <v>7.1</v>
      </c>
      <c r="O5" s="10" t="n">
        <f aca="false">0.617*N5*M5*B5</f>
        <v>490.6384</v>
      </c>
    </row>
    <row r="6" customFormat="false" ht="14.25" hidden="false" customHeight="true" outlineLevel="0" collapsed="false">
      <c r="A6" s="10" t="s">
        <v>1159</v>
      </c>
      <c r="B6" s="10" t="n">
        <v>4</v>
      </c>
      <c r="C6" s="10" t="n">
        <v>0.8</v>
      </c>
      <c r="D6" s="10" t="n">
        <v>0.8</v>
      </c>
      <c r="E6" s="10" t="n">
        <v>4.2</v>
      </c>
      <c r="F6" s="10" t="n">
        <f aca="false">B6*C6*D6*E6</f>
        <v>10.752</v>
      </c>
      <c r="G6" s="10" t="n">
        <f aca="false">((C6+D6)*2)*E6*B6</f>
        <v>53.76</v>
      </c>
      <c r="H6" s="10" t="n">
        <v>20</v>
      </c>
      <c r="I6" s="10" t="n">
        <v>24</v>
      </c>
      <c r="J6" s="10" t="n">
        <f aca="false">4.2+1</f>
        <v>5.2</v>
      </c>
      <c r="K6" s="10" t="n">
        <f aca="false">2.466*I6*B6*J6</f>
        <v>1231.0272</v>
      </c>
      <c r="L6" s="10" t="n">
        <v>10</v>
      </c>
      <c r="M6" s="10" t="n">
        <v>28</v>
      </c>
      <c r="N6" s="10" t="n">
        <f aca="false">2.9+2.1+2.1</f>
        <v>7.1</v>
      </c>
      <c r="O6" s="10" t="n">
        <f aca="false">0.617*N6*M6*B6</f>
        <v>490.6384</v>
      </c>
    </row>
    <row r="7" customFormat="false" ht="14.25" hidden="false" customHeight="true" outlineLevel="0" collapsed="false">
      <c r="F7" s="10" t="n">
        <f aca="false">SUM(F2:F6)</f>
        <v>38.304</v>
      </c>
      <c r="G7" s="10" t="n">
        <f aca="false">SUM(G2:G6)</f>
        <v>203.28</v>
      </c>
    </row>
    <row r="9" customFormat="false" ht="14.25" hidden="false" customHeight="true" outlineLevel="0" collapsed="false">
      <c r="H9" s="10" t="n">
        <v>10</v>
      </c>
      <c r="I9" s="10" t="n">
        <f aca="false">SUM(O2:O6)</f>
        <v>1889.9944</v>
      </c>
    </row>
    <row r="10" customFormat="false" ht="14.25" hidden="false" customHeight="true" outlineLevel="0" collapsed="false">
      <c r="H10" s="10" t="n">
        <v>20</v>
      </c>
      <c r="I10" s="10" t="n">
        <f aca="false">SUM(K2:K6)</f>
        <v>4821.5232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  <col collapsed="false" customWidth="true" hidden="false" outlineLevel="0" max="3" min="3" style="10" width="9.71"/>
    <col collapsed="false" customWidth="true" hidden="false" outlineLevel="0" max="4" min="4" style="10" width="10.57"/>
    <col collapsed="false" customWidth="true" hidden="false" outlineLevel="0" max="5" min="5" style="10" width="10.42"/>
    <col collapsed="false" customWidth="true" hidden="false" outlineLevel="0" max="6" min="6" style="10" width="13.71"/>
    <col collapsed="false" customWidth="true" hidden="false" outlineLevel="0" max="7" min="7" style="10" width="14.71"/>
    <col collapsed="false" customWidth="true" hidden="false" outlineLevel="0" max="8" min="8" style="10" width="16.43"/>
    <col collapsed="false" customWidth="true" hidden="false" outlineLevel="0" max="9" min="9" style="10" width="16.14"/>
    <col collapsed="false" customWidth="true" hidden="false" outlineLevel="0" max="10" min="10" style="10" width="16.29"/>
    <col collapsed="false" customWidth="true" hidden="false" outlineLevel="0" max="11" min="11" style="10" width="19.42"/>
    <col collapsed="false" customWidth="true" hidden="false" outlineLevel="0" max="12" min="12" style="10" width="15.71"/>
    <col collapsed="false" customWidth="true" hidden="false" outlineLevel="0" max="13" min="13" style="10" width="19.29"/>
    <col collapsed="false" customWidth="true" hidden="false" outlineLevel="0" max="14" min="14" style="10" width="16.84"/>
    <col collapsed="false" customWidth="true" hidden="false" outlineLevel="0" max="15" min="15" style="10" width="17.71"/>
  </cols>
  <sheetData>
    <row r="1" customFormat="false" ht="14.25" hidden="false" customHeight="true" outlineLevel="0" collapsed="false">
      <c r="A1" s="10" t="s">
        <v>189</v>
      </c>
      <c r="B1" s="119" t="s">
        <v>1147</v>
      </c>
      <c r="C1" s="119" t="s">
        <v>1160</v>
      </c>
      <c r="D1" s="119" t="s">
        <v>1127</v>
      </c>
      <c r="E1" s="119" t="s">
        <v>1161</v>
      </c>
      <c r="F1" s="119" t="s">
        <v>1067</v>
      </c>
      <c r="G1" s="119" t="s">
        <v>1066</v>
      </c>
      <c r="H1" s="119" t="s">
        <v>1148</v>
      </c>
      <c r="I1" s="119" t="s">
        <v>1149</v>
      </c>
      <c r="J1" s="119" t="s">
        <v>1143</v>
      </c>
      <c r="K1" s="119" t="s">
        <v>1150</v>
      </c>
      <c r="L1" s="119" t="s">
        <v>1151</v>
      </c>
      <c r="M1" s="119" t="s">
        <v>1152</v>
      </c>
      <c r="N1" s="119" t="s">
        <v>1153</v>
      </c>
      <c r="O1" s="119" t="s">
        <v>1154</v>
      </c>
    </row>
    <row r="2" customFormat="false" ht="14.25" hidden="false" customHeight="true" outlineLevel="0" collapsed="false">
      <c r="A2" s="10" t="s">
        <v>1162</v>
      </c>
      <c r="B2" s="10" t="n">
        <v>22</v>
      </c>
      <c r="C2" s="10" t="n">
        <v>0.25</v>
      </c>
      <c r="D2" s="10" t="n">
        <v>0.4</v>
      </c>
      <c r="E2" s="10" t="n">
        <v>0.7</v>
      </c>
      <c r="F2" s="10" t="n">
        <f aca="false">B2*C2*D2*E2</f>
        <v>1.54</v>
      </c>
      <c r="G2" s="10" t="n">
        <f aca="false">((C2+D2)*2)*E2*B2</f>
        <v>20.02</v>
      </c>
      <c r="H2" s="10" t="n">
        <v>16</v>
      </c>
      <c r="I2" s="10" t="n">
        <v>8</v>
      </c>
      <c r="J2" s="10" t="n">
        <f aca="false">0.7+1</f>
        <v>1.7</v>
      </c>
      <c r="K2" s="10" t="n">
        <f aca="false">'rebar weight'!G4*I2*B2*J2</f>
        <v>472.1376</v>
      </c>
      <c r="L2" s="10" t="n">
        <v>10</v>
      </c>
      <c r="M2" s="10" t="n">
        <v>6</v>
      </c>
      <c r="N2" s="10" t="n">
        <f aca="false">(1.2+0.8)</f>
        <v>2</v>
      </c>
      <c r="O2" s="10" t="n">
        <f aca="false">'rebar weight'!D4*N2*M2*B2</f>
        <v>162.888</v>
      </c>
    </row>
    <row r="3" customFormat="false" ht="14.25" hidden="false" customHeight="true" outlineLevel="0" collapsed="false">
      <c r="F3" s="10" t="n">
        <f aca="false">SUM(F2:F2)</f>
        <v>1.54</v>
      </c>
      <c r="G3" s="10" t="n">
        <f aca="false">SUM(G2:G2)</f>
        <v>20.02</v>
      </c>
    </row>
    <row r="5" customFormat="false" ht="14.25" hidden="false" customHeight="true" outlineLevel="0" collapsed="false">
      <c r="H5" s="10" t="n">
        <v>10</v>
      </c>
      <c r="I5" s="10" t="n">
        <f aca="false">SUM(O2:O2)</f>
        <v>162.888</v>
      </c>
    </row>
    <row r="6" customFormat="false" ht="14.25" hidden="false" customHeight="true" outlineLevel="0" collapsed="false">
      <c r="H6" s="10" t="n">
        <v>16</v>
      </c>
      <c r="I6" s="10" t="n">
        <f aca="false">SUM(K2:K2)</f>
        <v>472.1376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  <col collapsed="false" customWidth="true" hidden="false" outlineLevel="0" max="3" min="3" style="10" width="9.71"/>
    <col collapsed="false" customWidth="true" hidden="false" outlineLevel="0" max="4" min="4" style="10" width="10.57"/>
    <col collapsed="false" customWidth="true" hidden="false" outlineLevel="0" max="5" min="5" style="10" width="10.42"/>
    <col collapsed="false" customWidth="true" hidden="false" outlineLevel="0" max="6" min="6" style="10" width="13.71"/>
    <col collapsed="false" customWidth="true" hidden="false" outlineLevel="0" max="7" min="7" style="10" width="14.71"/>
    <col collapsed="false" customWidth="true" hidden="false" outlineLevel="0" max="8" min="8" style="10" width="16.43"/>
    <col collapsed="false" customWidth="true" hidden="false" outlineLevel="0" max="9" min="9" style="10" width="16.14"/>
    <col collapsed="false" customWidth="true" hidden="false" outlineLevel="0" max="10" min="10" style="10" width="16.29"/>
    <col collapsed="false" customWidth="true" hidden="false" outlineLevel="0" max="11" min="11" style="10" width="19.42"/>
    <col collapsed="false" customWidth="true" hidden="false" outlineLevel="0" max="12" min="12" style="10" width="15.71"/>
    <col collapsed="false" customWidth="true" hidden="false" outlineLevel="0" max="13" min="13" style="10" width="19.29"/>
    <col collapsed="false" customWidth="true" hidden="false" outlineLevel="0" max="14" min="14" style="10" width="16.84"/>
    <col collapsed="false" customWidth="true" hidden="false" outlineLevel="0" max="15" min="15" style="10" width="17.71"/>
  </cols>
  <sheetData>
    <row r="1" customFormat="false" ht="14.25" hidden="false" customHeight="true" outlineLevel="0" collapsed="false">
      <c r="A1" s="10" t="s">
        <v>189</v>
      </c>
      <c r="B1" s="119" t="s">
        <v>1147</v>
      </c>
      <c r="C1" s="119" t="s">
        <v>1160</v>
      </c>
      <c r="D1" s="119" t="s">
        <v>1127</v>
      </c>
      <c r="E1" s="119" t="s">
        <v>1161</v>
      </c>
      <c r="F1" s="119" t="s">
        <v>1067</v>
      </c>
      <c r="G1" s="119" t="s">
        <v>1066</v>
      </c>
      <c r="H1" s="119" t="s">
        <v>1148</v>
      </c>
      <c r="I1" s="119" t="s">
        <v>1149</v>
      </c>
      <c r="J1" s="119" t="s">
        <v>1143</v>
      </c>
      <c r="K1" s="119" t="s">
        <v>1150</v>
      </c>
      <c r="L1" s="119" t="s">
        <v>1151</v>
      </c>
      <c r="M1" s="119" t="s">
        <v>1152</v>
      </c>
      <c r="N1" s="119" t="s">
        <v>1153</v>
      </c>
      <c r="O1" s="119" t="s">
        <v>1154</v>
      </c>
    </row>
    <row r="2" customFormat="false" ht="14.25" hidden="false" customHeight="true" outlineLevel="0" collapsed="false">
      <c r="A2" s="10" t="s">
        <v>1155</v>
      </c>
      <c r="B2" s="10" t="n">
        <v>2</v>
      </c>
      <c r="C2" s="10" t="n">
        <v>0.4</v>
      </c>
      <c r="D2" s="10" t="n">
        <v>0.8</v>
      </c>
      <c r="E2" s="10" t="n">
        <v>3.5</v>
      </c>
      <c r="F2" s="10" t="n">
        <f aca="false">B2*C2*D2*E2</f>
        <v>2.24</v>
      </c>
      <c r="G2" s="10" t="n">
        <f aca="false">((C2+D2)*2)*E2*B2</f>
        <v>16.8</v>
      </c>
      <c r="H2" s="10" t="n">
        <v>20</v>
      </c>
      <c r="I2" s="10" t="n">
        <v>20</v>
      </c>
      <c r="J2" s="10" t="n">
        <f aca="false">3.5+1</f>
        <v>4.5</v>
      </c>
      <c r="K2" s="10" t="n">
        <f aca="false">2.466*I2*B2*J2</f>
        <v>443.88</v>
      </c>
      <c r="L2" s="10" t="n">
        <v>10</v>
      </c>
      <c r="M2" s="10" t="n">
        <v>24</v>
      </c>
      <c r="N2" s="10" t="n">
        <f aca="false">(2.3+2.1+1.6)</f>
        <v>6</v>
      </c>
      <c r="O2" s="10" t="n">
        <f aca="false">0.617*N2*M2*B2</f>
        <v>177.696</v>
      </c>
    </row>
    <row r="3" customFormat="false" ht="14.25" hidden="false" customHeight="true" outlineLevel="0" collapsed="false">
      <c r="A3" s="10" t="s">
        <v>1156</v>
      </c>
      <c r="B3" s="10" t="n">
        <v>2</v>
      </c>
      <c r="C3" s="10" t="n">
        <v>0.5</v>
      </c>
      <c r="D3" s="10" t="n">
        <v>0.8</v>
      </c>
      <c r="E3" s="10" t="n">
        <v>3.5</v>
      </c>
      <c r="F3" s="10" t="n">
        <f aca="false">B3*C3*D3*E3</f>
        <v>2.8</v>
      </c>
      <c r="G3" s="10" t="n">
        <f aca="false">((C3+D3)*2)*E3*B3</f>
        <v>18.2</v>
      </c>
      <c r="H3" s="10" t="n">
        <v>20</v>
      </c>
      <c r="I3" s="10" t="n">
        <v>24</v>
      </c>
      <c r="J3" s="10" t="n">
        <f aca="false">3.5+1</f>
        <v>4.5</v>
      </c>
      <c r="K3" s="10" t="n">
        <f aca="false">2.466*I3*B3*J3</f>
        <v>532.656</v>
      </c>
      <c r="L3" s="10" t="n">
        <v>10</v>
      </c>
      <c r="M3" s="10" t="n">
        <v>24</v>
      </c>
      <c r="N3" s="10" t="n">
        <v>6.1</v>
      </c>
      <c r="O3" s="10" t="n">
        <f aca="false">0.617*N3*M3*B3</f>
        <v>180.6576</v>
      </c>
    </row>
    <row r="4" customFormat="false" ht="14.25" hidden="false" customHeight="true" outlineLevel="0" collapsed="false">
      <c r="A4" s="10" t="s">
        <v>1157</v>
      </c>
      <c r="B4" s="10" t="n">
        <v>4</v>
      </c>
      <c r="C4" s="10" t="n">
        <v>0.8</v>
      </c>
      <c r="D4" s="10" t="n">
        <v>0.8</v>
      </c>
      <c r="E4" s="10" t="n">
        <v>3.5</v>
      </c>
      <c r="F4" s="10" t="n">
        <f aca="false">B4*C4*D4*E4</f>
        <v>8.96</v>
      </c>
      <c r="G4" s="10" t="n">
        <f aca="false">((C4+D4)*2)*E4*B4</f>
        <v>44.8</v>
      </c>
      <c r="H4" s="10" t="n">
        <v>20</v>
      </c>
      <c r="I4" s="10" t="n">
        <v>24</v>
      </c>
      <c r="J4" s="10" t="n">
        <f aca="false">3.5+1</f>
        <v>4.5</v>
      </c>
      <c r="K4" s="10" t="n">
        <f aca="false">2.466*I4*B4*J4</f>
        <v>1065.312</v>
      </c>
      <c r="L4" s="10" t="n">
        <v>10</v>
      </c>
      <c r="M4" s="10" t="n">
        <v>24</v>
      </c>
      <c r="N4" s="10" t="n">
        <v>7.1</v>
      </c>
      <c r="O4" s="10" t="n">
        <f aca="false">0.617*N4*M4*B4</f>
        <v>420.5472</v>
      </c>
    </row>
    <row r="5" customFormat="false" ht="14.25" hidden="false" customHeight="true" outlineLevel="0" collapsed="false">
      <c r="A5" s="10" t="s">
        <v>1158</v>
      </c>
      <c r="B5" s="10" t="n">
        <v>4</v>
      </c>
      <c r="C5" s="10" t="n">
        <v>0.8</v>
      </c>
      <c r="D5" s="10" t="n">
        <v>0.8</v>
      </c>
      <c r="E5" s="10" t="n">
        <v>3.5</v>
      </c>
      <c r="F5" s="10" t="n">
        <f aca="false">B5*C5*D5*E5</f>
        <v>8.96</v>
      </c>
      <c r="G5" s="10" t="n">
        <f aca="false">((C5+D5)*2)*E5*B5</f>
        <v>44.8</v>
      </c>
      <c r="H5" s="10" t="n">
        <v>20</v>
      </c>
      <c r="I5" s="10" t="n">
        <v>24</v>
      </c>
      <c r="J5" s="10" t="n">
        <f aca="false">3.5+1</f>
        <v>4.5</v>
      </c>
      <c r="K5" s="10" t="n">
        <f aca="false">2.466*I5*B5*J5</f>
        <v>1065.312</v>
      </c>
      <c r="L5" s="10" t="n">
        <v>10</v>
      </c>
      <c r="M5" s="10" t="n">
        <v>24</v>
      </c>
      <c r="N5" s="10" t="n">
        <f aca="false">2.9+2.1+2.1</f>
        <v>7.1</v>
      </c>
      <c r="O5" s="10" t="n">
        <f aca="false">0.617*N5*M5*B5</f>
        <v>420.5472</v>
      </c>
    </row>
    <row r="6" customFormat="false" ht="14.25" hidden="false" customHeight="true" outlineLevel="0" collapsed="false">
      <c r="A6" s="10" t="s">
        <v>1159</v>
      </c>
      <c r="B6" s="10" t="n">
        <v>4</v>
      </c>
      <c r="C6" s="10" t="n">
        <v>0.8</v>
      </c>
      <c r="D6" s="10" t="n">
        <v>0.8</v>
      </c>
      <c r="E6" s="10" t="n">
        <v>3.5</v>
      </c>
      <c r="F6" s="10" t="n">
        <f aca="false">B6*C6*D6*E6</f>
        <v>8.96</v>
      </c>
      <c r="G6" s="10" t="n">
        <f aca="false">((C6+D6)*2)*E6*B6</f>
        <v>44.8</v>
      </c>
      <c r="H6" s="10" t="n">
        <v>20</v>
      </c>
      <c r="I6" s="10" t="n">
        <v>24</v>
      </c>
      <c r="J6" s="10" t="n">
        <f aca="false">3.5+1</f>
        <v>4.5</v>
      </c>
      <c r="K6" s="10" t="n">
        <f aca="false">2.466*I6*B6*J6</f>
        <v>1065.312</v>
      </c>
      <c r="L6" s="10" t="n">
        <v>10</v>
      </c>
      <c r="M6" s="10" t="n">
        <v>24</v>
      </c>
      <c r="N6" s="10" t="n">
        <f aca="false">2.9+2.1+2.1</f>
        <v>7.1</v>
      </c>
      <c r="O6" s="10" t="n">
        <f aca="false">0.617*N6*M6*B6</f>
        <v>420.5472</v>
      </c>
    </row>
    <row r="7" customFormat="false" ht="14.25" hidden="false" customHeight="true" outlineLevel="0" collapsed="false">
      <c r="F7" s="10" t="n">
        <f aca="false">SUM(F2:F6)</f>
        <v>31.92</v>
      </c>
      <c r="G7" s="10" t="n">
        <f aca="false">SUM(G2:G6)</f>
        <v>169.4</v>
      </c>
    </row>
    <row r="9" customFormat="false" ht="14.25" hidden="false" customHeight="true" outlineLevel="0" collapsed="false">
      <c r="H9" s="10" t="n">
        <v>10</v>
      </c>
      <c r="I9" s="10" t="n">
        <f aca="false">SUM(O2:O6)</f>
        <v>1619.9952</v>
      </c>
    </row>
    <row r="10" customFormat="false" ht="14.25" hidden="false" customHeight="true" outlineLevel="0" collapsed="false">
      <c r="H10" s="10" t="n">
        <v>20</v>
      </c>
      <c r="I10" s="10" t="n">
        <f aca="false">SUM(K2:K6)</f>
        <v>4172.472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71484375" defaultRowHeight="15" zeroHeight="false" outlineLevelRow="0" outlineLevelCol="0"/>
  <cols>
    <col collapsed="false" customWidth="true" hidden="false" outlineLevel="0" max="1" min="1" style="10" width="18"/>
    <col collapsed="false" customWidth="true" hidden="false" outlineLevel="0" max="2" min="2" style="10" width="16.14"/>
    <col collapsed="false" customWidth="true" hidden="false" outlineLevel="0" max="3" min="3" style="10" width="15.14"/>
    <col collapsed="false" customWidth="true" hidden="false" outlineLevel="0" max="4" min="4" style="10" width="15"/>
  </cols>
  <sheetData>
    <row r="1" customFormat="false" ht="14.25" hidden="false" customHeight="true" outlineLevel="0" collapsed="false">
      <c r="A1" s="119" t="s">
        <v>1163</v>
      </c>
      <c r="B1" s="119" t="s">
        <v>1164</v>
      </c>
      <c r="C1" s="119" t="s">
        <v>1127</v>
      </c>
      <c r="D1" s="119" t="s">
        <v>1073</v>
      </c>
    </row>
    <row r="2" customFormat="false" ht="14.25" hidden="false" customHeight="true" outlineLevel="0" collapsed="false">
      <c r="A2" s="119" t="n">
        <v>10</v>
      </c>
      <c r="B2" s="119" t="n">
        <f aca="false">(7+7+4+4+4+7+7)*14</f>
        <v>560</v>
      </c>
      <c r="C2" s="119" t="n">
        <f aca="false">0.7</f>
        <v>0.7</v>
      </c>
      <c r="D2" s="10" t="n">
        <f aca="false">0.617*C2*B2</f>
        <v>241.864</v>
      </c>
    </row>
    <row r="3" customFormat="false" ht="14.25" hidden="false" customHeight="true" outlineLevel="0" collapsed="false">
      <c r="A3" s="119" t="n">
        <v>12</v>
      </c>
      <c r="B3" s="119" t="n">
        <v>28</v>
      </c>
      <c r="C3" s="119" t="n">
        <f aca="false">5.7+13+5.7+5.7+13</f>
        <v>43.1</v>
      </c>
      <c r="D3" s="10" t="n">
        <f aca="false">0.888*C3*B3</f>
        <v>1071.6384</v>
      </c>
    </row>
    <row r="4" customFormat="false" ht="14.25" hidden="false" customHeight="true" outlineLevel="0" collapsed="false">
      <c r="A4" s="10" t="n">
        <v>16</v>
      </c>
      <c r="B4" s="10" t="n">
        <f aca="false">17+17+17+17+11+11+11+11+11+11+6+6+9+9+4+4+9+9+6+6</f>
        <v>202</v>
      </c>
      <c r="C4" s="10" t="n">
        <f aca="false">4.2+1</f>
        <v>5.2</v>
      </c>
      <c r="D4" s="10" t="n">
        <f aca="false">1.58*C4*B4</f>
        <v>1659.632</v>
      </c>
    </row>
    <row r="5" customFormat="false" ht="14.25" hidden="false" customHeight="true" outlineLevel="0" collapsed="false">
      <c r="A5" s="10" t="n">
        <v>20</v>
      </c>
      <c r="B5" s="10" t="n">
        <f aca="false">8+8+8+12+16+12</f>
        <v>64</v>
      </c>
      <c r="C5" s="10" t="n">
        <f aca="false">4.2+1</f>
        <v>5.2</v>
      </c>
      <c r="D5" s="10" t="n">
        <f aca="false">2.47*C5*B5</f>
        <v>822.016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71484375" defaultRowHeight="15" zeroHeight="false" outlineLevelRow="0" outlineLevelCol="0"/>
  <cols>
    <col collapsed="false" customWidth="true" hidden="false" outlineLevel="0" max="1" min="1" style="10" width="18"/>
    <col collapsed="false" customWidth="true" hidden="false" outlineLevel="0" max="2" min="2" style="10" width="16.14"/>
    <col collapsed="false" customWidth="true" hidden="false" outlineLevel="0" max="3" min="3" style="10" width="15.14"/>
    <col collapsed="false" customWidth="true" hidden="false" outlineLevel="0" max="4" min="4" style="10" width="15"/>
  </cols>
  <sheetData>
    <row r="1" customFormat="false" ht="14.25" hidden="false" customHeight="true" outlineLevel="0" collapsed="false">
      <c r="A1" s="119" t="s">
        <v>1163</v>
      </c>
      <c r="B1" s="119" t="s">
        <v>1164</v>
      </c>
      <c r="C1" s="119" t="s">
        <v>1127</v>
      </c>
      <c r="D1" s="119" t="s">
        <v>1073</v>
      </c>
    </row>
    <row r="2" customFormat="false" ht="14.25" hidden="false" customHeight="true" outlineLevel="0" collapsed="false">
      <c r="A2" s="119" t="n">
        <v>10</v>
      </c>
      <c r="B2" s="119" t="n">
        <f aca="false">(7+7+4+4+4+7+7)*12</f>
        <v>480</v>
      </c>
      <c r="C2" s="119" t="n">
        <f aca="false">0.7</f>
        <v>0.7</v>
      </c>
      <c r="D2" s="10" t="n">
        <f aca="false">0.617*C2*B2</f>
        <v>207.312</v>
      </c>
    </row>
    <row r="3" customFormat="false" ht="14.25" hidden="false" customHeight="true" outlineLevel="0" collapsed="false">
      <c r="A3" s="119" t="n">
        <v>12</v>
      </c>
      <c r="B3" s="119" t="n">
        <v>24</v>
      </c>
      <c r="C3" s="119" t="n">
        <f aca="false">5.7+13+5.7+5.7+13</f>
        <v>43.1</v>
      </c>
      <c r="D3" s="10" t="n">
        <f aca="false">0.888*C3*B3</f>
        <v>918.5472</v>
      </c>
    </row>
    <row r="4" customFormat="false" ht="14.25" hidden="false" customHeight="true" outlineLevel="0" collapsed="false">
      <c r="A4" s="10" t="n">
        <v>16</v>
      </c>
      <c r="B4" s="10" t="n">
        <f aca="false">17+17+17+17+11+11+11+11+11+11+6+6+9+9+4+4+9+9+6+6</f>
        <v>202</v>
      </c>
      <c r="C4" s="10" t="n">
        <f aca="false">3.5+1</f>
        <v>4.5</v>
      </c>
      <c r="D4" s="10" t="n">
        <f aca="false">1.58*C4*B4</f>
        <v>1436.22</v>
      </c>
    </row>
    <row r="5" customFormat="false" ht="14.25" hidden="false" customHeight="true" outlineLevel="0" collapsed="false">
      <c r="A5" s="10" t="n">
        <v>20</v>
      </c>
      <c r="B5" s="10" t="n">
        <f aca="false">8+8+8+12+16+12</f>
        <v>64</v>
      </c>
      <c r="C5" s="10" t="n">
        <f aca="false">3.5+1</f>
        <v>4.5</v>
      </c>
      <c r="D5" s="10" t="n">
        <f aca="false">2.47*C5*B5</f>
        <v>711.36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71484375" defaultRowHeight="15" zeroHeight="false" outlineLevelRow="0" outlineLevelCol="0"/>
  <cols>
    <col collapsed="false" customWidth="true" hidden="false" outlineLevel="0" max="1" min="1" style="10" width="18"/>
    <col collapsed="false" customWidth="true" hidden="false" outlineLevel="0" max="2" min="2" style="10" width="16.14"/>
    <col collapsed="false" customWidth="true" hidden="false" outlineLevel="0" max="3" min="3" style="10" width="15.14"/>
    <col collapsed="false" customWidth="true" hidden="false" outlineLevel="0" max="4" min="4" style="10" width="15"/>
  </cols>
  <sheetData>
    <row r="1" customFormat="false" ht="14.25" hidden="false" customHeight="true" outlineLevel="0" collapsed="false">
      <c r="A1" s="119" t="s">
        <v>1163</v>
      </c>
      <c r="B1" s="119" t="s">
        <v>1164</v>
      </c>
      <c r="C1" s="119" t="s">
        <v>1127</v>
      </c>
      <c r="D1" s="119" t="s">
        <v>1073</v>
      </c>
    </row>
    <row r="2" customFormat="false" ht="14.25" hidden="false" customHeight="true" outlineLevel="0" collapsed="false">
      <c r="A2" s="119" t="n">
        <v>10</v>
      </c>
      <c r="B2" s="119" t="n">
        <f aca="false">(80/0.3)*4</f>
        <v>1066.66666666667</v>
      </c>
      <c r="C2" s="119" t="n">
        <v>0.4</v>
      </c>
      <c r="D2" s="138" t="n">
        <f aca="false">0.617*C2*B2</f>
        <v>263.253333333333</v>
      </c>
    </row>
    <row r="3" customFormat="false" ht="14.25" hidden="false" customHeight="true" outlineLevel="0" collapsed="false">
      <c r="A3" s="119" t="n">
        <v>12</v>
      </c>
      <c r="B3" s="119" t="n">
        <f aca="false">(80/0.15)*2</f>
        <v>1066.66666666667</v>
      </c>
      <c r="C3" s="119" t="n">
        <v>1.9</v>
      </c>
      <c r="D3" s="10" t="n">
        <f aca="false">0.888*C3*B3</f>
        <v>1799.68</v>
      </c>
    </row>
    <row r="4" customFormat="false" ht="14.25" hidden="false" customHeight="true" outlineLevel="0" collapsed="false">
      <c r="A4" s="119" t="n">
        <v>12</v>
      </c>
      <c r="B4" s="119" t="n">
        <v>16</v>
      </c>
      <c r="C4" s="119" t="n">
        <v>80</v>
      </c>
      <c r="D4" s="10" t="n">
        <f aca="false">0.888*C4*B4</f>
        <v>1136.64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71484375" defaultRowHeight="15" zeroHeight="false" outlineLevelRow="0" outlineLevelCol="0"/>
  <cols>
    <col collapsed="false" customWidth="true" hidden="false" outlineLevel="0" max="1" min="1" style="10" width="18"/>
    <col collapsed="false" customWidth="true" hidden="false" outlineLevel="0" max="2" min="2" style="10" width="16.14"/>
    <col collapsed="false" customWidth="true" hidden="false" outlineLevel="0" max="3" min="3" style="10" width="15.14"/>
    <col collapsed="false" customWidth="true" hidden="false" outlineLevel="0" max="4" min="4" style="10" width="15"/>
  </cols>
  <sheetData>
    <row r="1" customFormat="false" ht="14.25" hidden="false" customHeight="true" outlineLevel="0" collapsed="false">
      <c r="A1" s="119" t="s">
        <v>1163</v>
      </c>
      <c r="B1" s="119" t="s">
        <v>1164</v>
      </c>
      <c r="C1" s="119" t="s">
        <v>1127</v>
      </c>
      <c r="D1" s="119" t="s">
        <v>1073</v>
      </c>
    </row>
    <row r="2" customFormat="false" ht="14.25" hidden="false" customHeight="true" outlineLevel="0" collapsed="false">
      <c r="A2" s="119" t="n">
        <v>10</v>
      </c>
      <c r="B2" s="119" t="n">
        <f aca="false">(7+7+4+4+4+7+7)*12</f>
        <v>480</v>
      </c>
      <c r="C2" s="119" t="n">
        <f aca="false">0.7</f>
        <v>0.7</v>
      </c>
      <c r="D2" s="10" t="n">
        <f aca="false">0.617*C2*B2</f>
        <v>207.312</v>
      </c>
    </row>
    <row r="3" customFormat="false" ht="14.25" hidden="false" customHeight="true" outlineLevel="0" collapsed="false">
      <c r="A3" s="119" t="n">
        <v>12</v>
      </c>
      <c r="B3" s="119" t="n">
        <v>24</v>
      </c>
      <c r="C3" s="119" t="n">
        <f aca="false">5.7+13+5.7+5.7+13</f>
        <v>43.1</v>
      </c>
      <c r="D3" s="10" t="n">
        <f aca="false">0.888*C3*B3</f>
        <v>918.5472</v>
      </c>
    </row>
    <row r="4" customFormat="false" ht="14.25" hidden="false" customHeight="true" outlineLevel="0" collapsed="false">
      <c r="A4" s="10" t="n">
        <v>14</v>
      </c>
      <c r="B4" s="10" t="n">
        <f aca="false">17+17+17+17+11+11+11+11+11+11+6+6+9+9+4+4+9+9+6+6</f>
        <v>202</v>
      </c>
      <c r="C4" s="10" t="n">
        <f aca="false">3.6+1</f>
        <v>4.6</v>
      </c>
      <c r="D4" s="10" t="n">
        <f aca="false">1.208*C4*B4</f>
        <v>1122.4736</v>
      </c>
    </row>
    <row r="5" customFormat="false" ht="14.25" hidden="false" customHeight="true" outlineLevel="0" collapsed="false">
      <c r="A5" s="10" t="n">
        <v>20</v>
      </c>
      <c r="B5" s="10" t="n">
        <f aca="false">8+8+8+12+16+12</f>
        <v>64</v>
      </c>
      <c r="C5" s="10" t="n">
        <f aca="false">3.6+1</f>
        <v>4.6</v>
      </c>
      <c r="D5" s="10" t="n">
        <f aca="false">2.47*C5*B5</f>
        <v>727.168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8.71484375" defaultRowHeight="15" zeroHeight="false" outlineLevelRow="0" outlineLevelCol="0"/>
  <cols>
    <col collapsed="false" customWidth="true" hidden="false" outlineLevel="0" max="1" min="1" style="10" width="5.42"/>
    <col collapsed="false" customWidth="true" hidden="false" outlineLevel="0" max="2" min="2" style="10" width="11.71"/>
    <col collapsed="false" customWidth="true" hidden="false" outlineLevel="0" max="3" min="3" style="10" width="15.29"/>
    <col collapsed="false" customWidth="true" hidden="false" outlineLevel="0" max="4" min="4" style="10" width="16"/>
    <col collapsed="false" customWidth="true" hidden="false" outlineLevel="0" max="5" min="5" style="10" width="16.14"/>
    <col collapsed="false" customWidth="true" hidden="false" outlineLevel="0" max="6" min="6" style="10" width="17.29"/>
    <col collapsed="false" customWidth="true" hidden="false" outlineLevel="0" max="7" min="7" style="10" width="14.71"/>
    <col collapsed="false" customWidth="true" hidden="false" outlineLevel="0" max="8" min="8" style="10" width="13.71"/>
    <col collapsed="false" customWidth="true" hidden="false" outlineLevel="0" max="9" min="9" style="10" width="9.42"/>
    <col collapsed="false" customWidth="true" hidden="false" outlineLevel="0" max="10" min="10" style="10" width="11.57"/>
    <col collapsed="false" customWidth="true" hidden="false" outlineLevel="0" max="11" min="11" style="10" width="6"/>
    <col collapsed="false" customWidth="true" hidden="false" outlineLevel="0" max="12" min="12" style="10" width="12.29"/>
    <col collapsed="false" customWidth="true" hidden="false" outlineLevel="0" max="13" min="13" style="10" width="17.71"/>
    <col collapsed="false" customWidth="true" hidden="false" outlineLevel="0" max="14" min="14" style="10" width="11"/>
    <col collapsed="false" customWidth="true" hidden="false" outlineLevel="0" max="15" min="15" style="10" width="6.85"/>
    <col collapsed="false" customWidth="true" hidden="false" outlineLevel="0" max="16" min="16" style="10" width="9.86"/>
    <col collapsed="false" customWidth="true" hidden="false" outlineLevel="0" max="17" min="17" style="10" width="18.71"/>
    <col collapsed="false" customWidth="true" hidden="false" outlineLevel="0" max="18" min="18" style="10" width="11"/>
    <col collapsed="false" customWidth="true" hidden="false" outlineLevel="0" max="19" min="19" style="10" width="11.57"/>
    <col collapsed="false" customWidth="true" hidden="false" outlineLevel="0" max="20" min="20" style="10" width="16.84"/>
    <col collapsed="false" customWidth="true" hidden="false" outlineLevel="0" max="21" min="21" style="10" width="11"/>
  </cols>
  <sheetData>
    <row r="1" customFormat="false" ht="14.25" hidden="false" customHeight="true" outlineLevel="0" collapsed="false">
      <c r="A1" s="10" t="s">
        <v>1060</v>
      </c>
      <c r="B1" s="10" t="s">
        <v>1061</v>
      </c>
      <c r="C1" s="10" t="s">
        <v>1062</v>
      </c>
      <c r="D1" s="10" t="s">
        <v>1063</v>
      </c>
      <c r="E1" s="10" t="s">
        <v>1064</v>
      </c>
      <c r="F1" s="10" t="s">
        <v>1065</v>
      </c>
      <c r="G1" s="10" t="s">
        <v>1066</v>
      </c>
      <c r="H1" s="10" t="s">
        <v>1067</v>
      </c>
      <c r="I1" s="10" t="s">
        <v>1068</v>
      </c>
      <c r="J1" s="10" t="s">
        <v>1069</v>
      </c>
      <c r="K1" s="10" t="s">
        <v>1070</v>
      </c>
      <c r="L1" s="10" t="s">
        <v>1071</v>
      </c>
      <c r="M1" s="10" t="s">
        <v>1072</v>
      </c>
      <c r="N1" s="10" t="s">
        <v>1073</v>
      </c>
      <c r="O1" s="10" t="s">
        <v>1074</v>
      </c>
      <c r="P1" s="10" t="s">
        <v>1075</v>
      </c>
      <c r="Q1" s="10" t="s">
        <v>1076</v>
      </c>
      <c r="R1" s="10" t="s">
        <v>1073</v>
      </c>
      <c r="S1" s="10" t="s">
        <v>1077</v>
      </c>
      <c r="T1" s="10" t="s">
        <v>1078</v>
      </c>
      <c r="U1" s="10" t="s">
        <v>1073</v>
      </c>
    </row>
    <row r="2" customFormat="false" ht="14.25" hidden="false" customHeight="true" outlineLevel="0" collapsed="false">
      <c r="A2" s="10" t="s">
        <v>1079</v>
      </c>
      <c r="B2" s="10" t="s">
        <v>1080</v>
      </c>
      <c r="C2" s="10" t="n">
        <v>0.25</v>
      </c>
      <c r="D2" s="10" t="n">
        <v>0.4</v>
      </c>
      <c r="E2" s="10" t="n">
        <f aca="false">10*2</f>
        <v>20</v>
      </c>
      <c r="F2" s="10" t="n">
        <v>0.15</v>
      </c>
      <c r="G2" s="10" t="n">
        <f aca="false">((C2+0.2)+(D2-F2)*2)*E2</f>
        <v>19</v>
      </c>
      <c r="H2" s="10" t="n">
        <f aca="false">C2*(D2-F2)*E2</f>
        <v>1.25</v>
      </c>
      <c r="I2" s="10" t="n">
        <f aca="false">(C2+0.2)*E2*0.05</f>
        <v>0.45</v>
      </c>
      <c r="J2" s="10" t="n">
        <f aca="false">(C2+0.2)*E2*0.1</f>
        <v>0.9</v>
      </c>
      <c r="K2" s="10" t="n">
        <f aca="false">(C2+0.2)*E2</f>
        <v>9</v>
      </c>
      <c r="L2" s="10" t="n">
        <v>16</v>
      </c>
      <c r="M2" s="10" t="n">
        <v>6</v>
      </c>
      <c r="N2" s="10" t="n">
        <f aca="false">1.578*M2*E2</f>
        <v>189.36</v>
      </c>
      <c r="O2" s="10" t="n">
        <v>8</v>
      </c>
      <c r="P2" s="10" t="n">
        <v>1.2</v>
      </c>
      <c r="Q2" s="10" t="n">
        <f aca="false">E2/0.15</f>
        <v>133.333333333333</v>
      </c>
      <c r="R2" s="10" t="n">
        <f aca="false">0.395*P2*Q2</f>
        <v>63.2</v>
      </c>
    </row>
    <row r="3" customFormat="false" ht="14.25" hidden="false" customHeight="true" outlineLevel="0" collapsed="false">
      <c r="A3" s="10" t="s">
        <v>1079</v>
      </c>
      <c r="B3" s="10" t="s">
        <v>1082</v>
      </c>
      <c r="C3" s="10" t="n">
        <v>0.3</v>
      </c>
      <c r="D3" s="10" t="n">
        <v>0.5</v>
      </c>
      <c r="E3" s="10" t="n">
        <v>13</v>
      </c>
      <c r="F3" s="10" t="n">
        <v>0.2</v>
      </c>
      <c r="G3" s="10" t="n">
        <f aca="false">((C3+0.2)+(D3-F3)*2)*E3</f>
        <v>14.3</v>
      </c>
      <c r="H3" s="10" t="n">
        <f aca="false">C3*(D3-F3)*E3</f>
        <v>1.17</v>
      </c>
      <c r="I3" s="10" t="n">
        <f aca="false">(C3+0.2)*E3*0.05</f>
        <v>0.325</v>
      </c>
      <c r="J3" s="10" t="n">
        <f aca="false">(C3+0.2)*E3*0.1</f>
        <v>0.65</v>
      </c>
      <c r="K3" s="10" t="n">
        <f aca="false">(C3+0.2)*E3</f>
        <v>6.5</v>
      </c>
      <c r="L3" s="10" t="n">
        <v>20</v>
      </c>
      <c r="M3" s="10" t="n">
        <v>8</v>
      </c>
      <c r="N3" s="10" t="n">
        <f aca="false">2.446*M3*E3</f>
        <v>254.384</v>
      </c>
      <c r="O3" s="10" t="n">
        <v>8</v>
      </c>
      <c r="P3" s="10" t="n">
        <f aca="false">1.4+0.4</f>
        <v>1.8</v>
      </c>
      <c r="Q3" s="10" t="n">
        <f aca="false">E3/0.15</f>
        <v>86.6666666666667</v>
      </c>
      <c r="R3" s="10" t="n">
        <f aca="false">0.395*P3*Q3</f>
        <v>61.62</v>
      </c>
      <c r="S3" s="10" t="n">
        <v>12</v>
      </c>
      <c r="T3" s="10" t="n">
        <v>2</v>
      </c>
      <c r="U3" s="10" t="n">
        <f aca="false">0.888*T3*E3</f>
        <v>23.088</v>
      </c>
    </row>
    <row r="4" customFormat="false" ht="14.25" hidden="false" customHeight="true" outlineLevel="0" collapsed="false">
      <c r="B4" s="10" t="s">
        <v>1165</v>
      </c>
      <c r="C4" s="10" t="n">
        <v>0.2</v>
      </c>
      <c r="D4" s="10" t="n">
        <v>0.3</v>
      </c>
      <c r="E4" s="10" t="n">
        <v>9</v>
      </c>
      <c r="F4" s="10" t="n">
        <v>0.15</v>
      </c>
      <c r="G4" s="10" t="n">
        <f aca="false">((C4+0.2)+(D4-F4)*2)*E4</f>
        <v>6.3</v>
      </c>
      <c r="H4" s="10" t="n">
        <f aca="false">C4*(D4-F4)*E4</f>
        <v>0.27</v>
      </c>
      <c r="L4" s="10" t="n">
        <v>16</v>
      </c>
      <c r="M4" s="10" t="n">
        <v>4</v>
      </c>
      <c r="N4" s="10" t="n">
        <f aca="false">2.446*M4*E4</f>
        <v>88.056</v>
      </c>
      <c r="O4" s="10" t="n">
        <v>8</v>
      </c>
      <c r="P4" s="10" t="n">
        <v>0.8</v>
      </c>
      <c r="Q4" s="10" t="n">
        <v>11</v>
      </c>
      <c r="R4" s="10" t="n">
        <f aca="false">0.395*P4*Q4</f>
        <v>3.476</v>
      </c>
    </row>
    <row r="5" customFormat="false" ht="14.25" hidden="false" customHeight="true" outlineLevel="0" collapsed="false">
      <c r="B5" s="10" t="s">
        <v>1086</v>
      </c>
      <c r="C5" s="10" t="n">
        <v>0.2</v>
      </c>
      <c r="D5" s="10" t="n">
        <v>0.4</v>
      </c>
      <c r="E5" s="10" t="n">
        <v>3.2</v>
      </c>
      <c r="F5" s="10" t="n">
        <v>0.15</v>
      </c>
      <c r="G5" s="10" t="n">
        <f aca="false">((C5+0.2)+(D5-F5)*2)*E5</f>
        <v>2.88</v>
      </c>
      <c r="H5" s="10" t="n">
        <f aca="false">C5*(D5-F5)*E5</f>
        <v>0.16</v>
      </c>
      <c r="L5" s="10" t="n">
        <v>16</v>
      </c>
      <c r="M5" s="10" t="n">
        <v>4</v>
      </c>
      <c r="N5" s="10" t="n">
        <f aca="false">2.446*M5*E5</f>
        <v>31.3088</v>
      </c>
      <c r="O5" s="10" t="n">
        <v>8</v>
      </c>
      <c r="P5" s="10" t="n">
        <v>1</v>
      </c>
      <c r="Q5" s="10" t="n">
        <v>11</v>
      </c>
      <c r="R5" s="10" t="n">
        <f aca="false">0.395*P5*Q5</f>
        <v>4.345</v>
      </c>
    </row>
    <row r="12" customFormat="false" ht="14.25" hidden="false" customHeight="true" outlineLevel="0" collapsed="false">
      <c r="L12" s="10" t="n">
        <v>8</v>
      </c>
      <c r="M12" s="10" t="n">
        <f aca="false">(1.2*2*11*2*'rebar weight'!C4)+R2+R3+(0.8*11*3*'rebar weight'!C4)+R4+(2.5*6*2*'rebar weight'!G4)+(1*11*2*'rebar weight'!C4)+R5</f>
        <v>219.955</v>
      </c>
    </row>
    <row r="13" customFormat="false" ht="14.25" hidden="false" customHeight="true" outlineLevel="0" collapsed="false">
      <c r="L13" s="10" t="n">
        <v>10</v>
      </c>
      <c r="M13" s="10" t="n">
        <f aca="false">3.45*60</f>
        <v>207</v>
      </c>
    </row>
    <row r="14" customFormat="false" ht="14.25" hidden="false" customHeight="true" outlineLevel="0" collapsed="false">
      <c r="L14" s="10" t="n">
        <v>12</v>
      </c>
      <c r="M14" s="10" t="n">
        <f aca="false">(17.55*120)+(3.45*60)+(5.016*120)</f>
        <v>2914.92</v>
      </c>
    </row>
    <row r="15" customFormat="false" ht="14.25" hidden="false" customHeight="true" outlineLevel="0" collapsed="false">
      <c r="L15" s="10" t="n">
        <v>16</v>
      </c>
      <c r="M15" s="10" t="n">
        <f aca="false">(2.5*8*2*'rebar weight'!G4)+N2+(2.5*4*3*'rebar weight'!G4)+N4+N5+(0.25*0.4*7.3*160)</f>
        <v>535.9848</v>
      </c>
    </row>
    <row r="16" customFormat="false" ht="14.25" hidden="false" customHeight="true" outlineLevel="0" collapsed="false">
      <c r="L16" s="10" t="n">
        <v>20</v>
      </c>
      <c r="M16" s="10" t="n">
        <f aca="false">N3</f>
        <v>254.384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71484375" defaultRowHeight="15" zeroHeight="false" outlineLevelRow="0" outlineLevelCol="0"/>
  <cols>
    <col collapsed="false" customWidth="true" hidden="false" outlineLevel="0" max="1" min="1" style="10" width="36.29"/>
  </cols>
  <sheetData>
    <row r="1" customFormat="false" ht="14.25" hidden="false" customHeight="true" outlineLevel="0" collapsed="false">
      <c r="A1" s="10" t="s">
        <v>63</v>
      </c>
    </row>
    <row r="2" customFormat="false" ht="14.25" hidden="false" customHeight="true" outlineLevel="0" collapsed="false">
      <c r="A2" s="139" t="s">
        <v>1166</v>
      </c>
    </row>
    <row r="3" customFormat="false" ht="14.25" hidden="false" customHeight="true" outlineLevel="0" collapsed="false">
      <c r="A3" s="10" t="s">
        <v>1167</v>
      </c>
    </row>
    <row r="4" customFormat="false" ht="14.25" hidden="false" customHeight="true" outlineLevel="0" collapsed="false">
      <c r="A4" s="10" t="s">
        <v>1168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22.71"/>
    <col collapsed="false" customWidth="true" hidden="false" outlineLevel="0" max="3" min="3" style="10" width="41.71"/>
  </cols>
  <sheetData>
    <row r="1" customFormat="false" ht="14.25" hidden="false" customHeight="true" outlineLevel="0" collapsed="false">
      <c r="A1" s="10" t="s">
        <v>1169</v>
      </c>
      <c r="B1" s="10" t="s">
        <v>1170</v>
      </c>
      <c r="C1" s="10" t="s">
        <v>1171</v>
      </c>
    </row>
    <row r="2" customFormat="false" ht="14.25" hidden="false" customHeight="true" outlineLevel="0" collapsed="false">
      <c r="A2" s="10" t="s">
        <v>1172</v>
      </c>
      <c r="B2" s="10" t="s">
        <v>1173</v>
      </c>
      <c r="C2" s="10" t="s">
        <v>1174</v>
      </c>
    </row>
    <row r="3" customFormat="false" ht="14.25" hidden="false" customHeight="true" outlineLevel="0" collapsed="false">
      <c r="A3" s="10" t="s">
        <v>1175</v>
      </c>
      <c r="B3" s="10" t="s">
        <v>1176</v>
      </c>
      <c r="C3" s="10" t="s">
        <v>1177</v>
      </c>
    </row>
    <row r="4" customFormat="false" ht="14.25" hidden="false" customHeight="true" outlineLevel="0" collapsed="false">
      <c r="A4" s="10" t="s">
        <v>1178</v>
      </c>
      <c r="B4" s="10" t="s">
        <v>1179</v>
      </c>
      <c r="C4" s="10" t="s">
        <v>1180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71484375" defaultRowHeight="15" zeroHeight="false" outlineLevelRow="0" outlineLevelCol="0"/>
  <cols>
    <col collapsed="false" customWidth="true" hidden="false" outlineLevel="0" max="2" min="2" style="10" width="19.86"/>
  </cols>
  <sheetData>
    <row r="1" customFormat="false" ht="14.25" hidden="false" customHeight="true" outlineLevel="0" collapsed="false">
      <c r="A1" s="140" t="s">
        <v>5</v>
      </c>
      <c r="B1" s="10" t="s">
        <v>1181</v>
      </c>
    </row>
    <row r="2" customFormat="false" ht="14.25" hidden="false" customHeight="true" outlineLevel="0" collapsed="false">
      <c r="A2" s="140" t="s">
        <v>7</v>
      </c>
      <c r="B2" s="10" t="s">
        <v>1182</v>
      </c>
    </row>
    <row r="3" customFormat="false" ht="14.25" hidden="false" customHeight="true" outlineLevel="0" collapsed="false">
      <c r="A3" s="140" t="s">
        <v>9</v>
      </c>
      <c r="B3" s="10" t="s">
        <v>1183</v>
      </c>
    </row>
    <row r="4" customFormat="false" ht="14.25" hidden="false" customHeight="true" outlineLevel="0" collapsed="false">
      <c r="A4" s="140" t="s">
        <v>11</v>
      </c>
      <c r="B4" s="10" t="s">
        <v>1184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8.71484375" defaultRowHeight="15" zeroHeight="false" outlineLevelRow="0" outlineLevelCol="0"/>
  <cols>
    <col collapsed="false" customWidth="true" hidden="false" outlineLevel="0" max="1" min="1" style="10" width="17.57"/>
    <col collapsed="false" customWidth="true" hidden="false" outlineLevel="0" max="2" min="2" style="10" width="26"/>
  </cols>
  <sheetData>
    <row r="1" customFormat="false" ht="14.25" hidden="false" customHeight="true" outlineLevel="0" collapsed="false">
      <c r="A1" s="10" t="s">
        <v>1</v>
      </c>
      <c r="B1" s="10" t="s">
        <v>366</v>
      </c>
    </row>
    <row r="2" customFormat="false" ht="14.25" hidden="false" customHeight="true" outlineLevel="0" collapsed="false">
      <c r="A2" s="10" t="s">
        <v>4</v>
      </c>
      <c r="B2" s="10" t="s">
        <v>1185</v>
      </c>
    </row>
    <row r="3" customFormat="false" ht="14.25" hidden="false" customHeight="true" outlineLevel="0" collapsed="false">
      <c r="A3" s="10" t="s">
        <v>1186</v>
      </c>
      <c r="B3" s="10" t="s">
        <v>1187</v>
      </c>
    </row>
    <row r="4" customFormat="false" ht="14.25" hidden="false" customHeight="true" outlineLevel="0" collapsed="false">
      <c r="A4" s="10" t="s">
        <v>1188</v>
      </c>
      <c r="B4" s="10" t="s">
        <v>77</v>
      </c>
    </row>
    <row r="5" customFormat="false" ht="14.25" hidden="false" customHeight="true" outlineLevel="0" collapsed="false">
      <c r="A5" s="10" t="s">
        <v>1189</v>
      </c>
      <c r="B5" s="10" t="s">
        <v>1190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sheetData>
    <row r="1" customFormat="false" ht="13.5" hidden="false" customHeight="true" outlineLevel="0" collapsed="false">
      <c r="A1" s="10" t="s">
        <v>1191</v>
      </c>
      <c r="B1" s="10" t="s">
        <v>1192</v>
      </c>
      <c r="C1" s="10" t="s">
        <v>30</v>
      </c>
      <c r="D1" s="10" t="s">
        <v>192</v>
      </c>
      <c r="E1" s="10" t="s">
        <v>1</v>
      </c>
      <c r="F1" s="10" t="s">
        <v>25</v>
      </c>
      <c r="G1" s="10" t="s">
        <v>194</v>
      </c>
      <c r="H1" s="10" t="s">
        <v>88</v>
      </c>
      <c r="I1" s="10" t="s">
        <v>89</v>
      </c>
      <c r="J1" s="10" t="s">
        <v>33</v>
      </c>
      <c r="K1" s="10" t="s">
        <v>1193</v>
      </c>
      <c r="L1" s="10" t="s">
        <v>1194</v>
      </c>
      <c r="M1" s="10" t="s">
        <v>366</v>
      </c>
      <c r="N1" s="10" t="s">
        <v>1195</v>
      </c>
      <c r="O1" s="10" t="s">
        <v>1196</v>
      </c>
      <c r="P1" s="10" t="s">
        <v>34</v>
      </c>
      <c r="Q1" s="10" t="s">
        <v>1197</v>
      </c>
      <c r="R1" s="10" t="s">
        <v>1198</v>
      </c>
      <c r="S1" s="10" t="s">
        <v>1199</v>
      </c>
      <c r="T1" s="10" t="s">
        <v>1200</v>
      </c>
      <c r="U1" s="10" t="s">
        <v>1201</v>
      </c>
      <c r="V1" s="10" t="s">
        <v>1202</v>
      </c>
      <c r="W1" s="10" t="s">
        <v>1203</v>
      </c>
      <c r="X1" s="10" t="s">
        <v>1204</v>
      </c>
      <c r="Y1" s="10" t="s">
        <v>1205</v>
      </c>
      <c r="Z1" s="10" t="s">
        <v>1206</v>
      </c>
      <c r="AA1" s="10" t="s">
        <v>1207</v>
      </c>
    </row>
    <row r="2" customFormat="false" ht="13.5" hidden="false" customHeight="true" outlineLevel="0" collapsed="false">
      <c r="C2" s="10" t="s">
        <v>35</v>
      </c>
      <c r="D2" s="10" t="s">
        <v>240</v>
      </c>
      <c r="E2" s="10" t="s">
        <v>4</v>
      </c>
      <c r="F2" s="10" t="s">
        <v>1031</v>
      </c>
      <c r="G2" s="10" t="s">
        <v>61</v>
      </c>
      <c r="H2" s="10" t="s">
        <v>99</v>
      </c>
      <c r="I2" s="10" t="s">
        <v>1208</v>
      </c>
      <c r="J2" s="10" t="s">
        <v>1111</v>
      </c>
      <c r="P2" s="10" t="s">
        <v>1112</v>
      </c>
      <c r="Q2" s="10" t="n">
        <v>5</v>
      </c>
      <c r="R2" s="10" t="n">
        <v>5</v>
      </c>
      <c r="S2" s="10" t="n">
        <v>0</v>
      </c>
      <c r="T2" s="10" t="n">
        <v>55</v>
      </c>
      <c r="U2" s="10" t="n">
        <v>0.2</v>
      </c>
      <c r="V2" s="10" t="n">
        <v>66</v>
      </c>
      <c r="W2" s="10" t="n">
        <v>0</v>
      </c>
      <c r="X2" s="10" t="n">
        <v>0</v>
      </c>
      <c r="Y2" s="10" t="n">
        <v>0</v>
      </c>
      <c r="Z2" s="10" t="n">
        <v>330</v>
      </c>
    </row>
    <row r="3" customFormat="false" ht="13.5" hidden="false" customHeight="true" outlineLevel="0" collapsed="false">
      <c r="C3" s="10" t="s">
        <v>35</v>
      </c>
      <c r="D3" s="10" t="s">
        <v>240</v>
      </c>
      <c r="E3" s="10" t="s">
        <v>4</v>
      </c>
      <c r="F3" s="10" t="s">
        <v>1031</v>
      </c>
      <c r="G3" s="10" t="s">
        <v>61</v>
      </c>
      <c r="H3" s="10" t="s">
        <v>99</v>
      </c>
      <c r="I3" s="10" t="s">
        <v>1208</v>
      </c>
      <c r="J3" s="10" t="s">
        <v>1113</v>
      </c>
      <c r="P3" s="10" t="s">
        <v>1112</v>
      </c>
      <c r="Q3" s="10" t="n">
        <v>17</v>
      </c>
      <c r="R3" s="10" t="n">
        <v>17</v>
      </c>
      <c r="S3" s="10" t="n">
        <v>0</v>
      </c>
      <c r="T3" s="10" t="n">
        <v>40</v>
      </c>
      <c r="U3" s="10" t="n">
        <v>0.2</v>
      </c>
      <c r="V3" s="10" t="n">
        <v>48</v>
      </c>
      <c r="W3" s="10" t="n">
        <v>0</v>
      </c>
      <c r="X3" s="10" t="n">
        <v>0</v>
      </c>
      <c r="Y3" s="10" t="n">
        <v>0</v>
      </c>
      <c r="Z3" s="10" t="n">
        <v>816</v>
      </c>
    </row>
    <row r="4" customFormat="false" ht="13.5" hidden="false" customHeight="true" outlineLevel="0" collapsed="false">
      <c r="C4" s="10" t="s">
        <v>35</v>
      </c>
      <c r="D4" s="10" t="s">
        <v>240</v>
      </c>
      <c r="E4" s="10" t="s">
        <v>4</v>
      </c>
      <c r="F4" s="10" t="s">
        <v>1031</v>
      </c>
      <c r="G4" s="10" t="s">
        <v>61</v>
      </c>
      <c r="H4" s="10" t="s">
        <v>99</v>
      </c>
      <c r="I4" s="10" t="s">
        <v>1209</v>
      </c>
      <c r="J4" s="10" t="s">
        <v>1121</v>
      </c>
      <c r="P4" s="10" t="s">
        <v>1112</v>
      </c>
      <c r="Q4" s="10" t="n">
        <v>22</v>
      </c>
      <c r="R4" s="10" t="n">
        <v>22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50</v>
      </c>
      <c r="X4" s="10" t="n">
        <v>0.1</v>
      </c>
      <c r="Y4" s="10" t="n">
        <v>55</v>
      </c>
      <c r="Z4" s="10" t="n">
        <v>1210</v>
      </c>
    </row>
    <row r="5" customFormat="false" ht="13.5" hidden="false" customHeight="true" outlineLevel="0" collapsed="false">
      <c r="C5" s="10" t="s">
        <v>35</v>
      </c>
      <c r="D5" s="10" t="s">
        <v>240</v>
      </c>
      <c r="E5" s="10" t="s">
        <v>4</v>
      </c>
      <c r="F5" s="10" t="s">
        <v>1031</v>
      </c>
      <c r="G5" s="10" t="s">
        <v>61</v>
      </c>
      <c r="H5" s="10" t="s">
        <v>99</v>
      </c>
      <c r="I5" s="10" t="s">
        <v>1210</v>
      </c>
      <c r="J5" s="10" t="s">
        <v>1119</v>
      </c>
      <c r="P5" s="10" t="s">
        <v>1112</v>
      </c>
      <c r="Q5" s="10" t="n">
        <v>5</v>
      </c>
      <c r="R5" s="10" t="n">
        <v>5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350</v>
      </c>
      <c r="X5" s="10" t="n">
        <v>0.1</v>
      </c>
      <c r="Y5" s="10" t="n">
        <v>385</v>
      </c>
      <c r="Z5" s="10" t="n">
        <v>1925</v>
      </c>
    </row>
    <row r="6" customFormat="false" ht="13.5" hidden="false" customHeight="true" outlineLevel="0" collapsed="false">
      <c r="C6" s="10" t="s">
        <v>35</v>
      </c>
      <c r="D6" s="10" t="s">
        <v>240</v>
      </c>
      <c r="E6" s="10" t="s">
        <v>4</v>
      </c>
      <c r="F6" s="10" t="s">
        <v>1031</v>
      </c>
      <c r="G6" s="10" t="s">
        <v>61</v>
      </c>
      <c r="H6" s="10" t="s">
        <v>99</v>
      </c>
      <c r="I6" s="10" t="s">
        <v>1210</v>
      </c>
      <c r="J6" s="10" t="s">
        <v>1120</v>
      </c>
      <c r="P6" s="10" t="s">
        <v>1112</v>
      </c>
      <c r="Q6" s="10" t="n">
        <v>17</v>
      </c>
      <c r="R6" s="10" t="n">
        <v>17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300</v>
      </c>
      <c r="X6" s="10" t="n">
        <v>0.1</v>
      </c>
      <c r="Y6" s="10" t="n">
        <v>330</v>
      </c>
      <c r="Z6" s="10" t="n">
        <v>5610</v>
      </c>
    </row>
    <row r="7" customFormat="false" ht="13.5" hidden="false" customHeight="true" outlineLevel="0" collapsed="false">
      <c r="C7" s="10" t="s">
        <v>35</v>
      </c>
      <c r="D7" s="10" t="s">
        <v>240</v>
      </c>
      <c r="E7" s="10" t="s">
        <v>4</v>
      </c>
      <c r="F7" s="10" t="s">
        <v>1031</v>
      </c>
      <c r="G7" s="10" t="s">
        <v>61</v>
      </c>
      <c r="H7" s="10" t="s">
        <v>99</v>
      </c>
      <c r="I7" s="10" t="s">
        <v>110</v>
      </c>
      <c r="J7" s="10" t="s">
        <v>1110</v>
      </c>
      <c r="P7" s="10" t="s">
        <v>47</v>
      </c>
      <c r="Q7" s="10" t="n">
        <v>374.163685042544</v>
      </c>
      <c r="R7" s="10" t="n">
        <v>374.163685042544</v>
      </c>
      <c r="T7" s="10" t="n">
        <v>8</v>
      </c>
      <c r="U7" s="10" t="n">
        <v>0.2</v>
      </c>
      <c r="V7" s="10" t="n">
        <v>9.6</v>
      </c>
      <c r="W7" s="10" t="n">
        <v>98</v>
      </c>
      <c r="X7" s="10" t="n">
        <v>0.12</v>
      </c>
      <c r="Y7" s="10" t="n">
        <v>109.76</v>
      </c>
      <c r="Z7" s="10" t="n">
        <v>44660.1774466781</v>
      </c>
    </row>
    <row r="8" customFormat="false" ht="13.5" hidden="false" customHeight="true" outlineLevel="0" collapsed="false">
      <c r="C8" s="10" t="s">
        <v>35</v>
      </c>
      <c r="D8" s="10" t="s">
        <v>240</v>
      </c>
      <c r="E8" s="10" t="s">
        <v>4</v>
      </c>
      <c r="F8" s="10" t="s">
        <v>1031</v>
      </c>
      <c r="G8" s="10" t="s">
        <v>61</v>
      </c>
      <c r="H8" s="10" t="s">
        <v>99</v>
      </c>
      <c r="I8" s="10" t="s">
        <v>111</v>
      </c>
      <c r="J8" s="10" t="s">
        <v>1100</v>
      </c>
      <c r="P8" s="10" t="s">
        <v>49</v>
      </c>
      <c r="Q8" s="10" t="n">
        <v>2553.8864</v>
      </c>
      <c r="R8" s="10" t="n">
        <v>2553.8864</v>
      </c>
      <c r="T8" s="10" t="n">
        <v>0.12</v>
      </c>
      <c r="U8" s="10" t="n">
        <v>0.2</v>
      </c>
      <c r="V8" s="10" t="n">
        <v>0.144</v>
      </c>
      <c r="W8" s="10" t="n">
        <v>0.78</v>
      </c>
      <c r="X8" s="10" t="n">
        <v>0.12</v>
      </c>
      <c r="Y8" s="10" t="n">
        <v>0.8736</v>
      </c>
      <c r="Z8" s="10" t="n">
        <v>2598.83480064</v>
      </c>
    </row>
    <row r="9" customFormat="false" ht="13.5" hidden="false" customHeight="true" outlineLevel="0" collapsed="false">
      <c r="C9" s="10" t="s">
        <v>35</v>
      </c>
      <c r="D9" s="10" t="s">
        <v>240</v>
      </c>
      <c r="E9" s="10" t="s">
        <v>4</v>
      </c>
      <c r="F9" s="10" t="s">
        <v>1031</v>
      </c>
      <c r="G9" s="10" t="s">
        <v>61</v>
      </c>
      <c r="H9" s="10" t="s">
        <v>99</v>
      </c>
      <c r="I9" s="10" t="s">
        <v>111</v>
      </c>
      <c r="J9" s="10" t="s">
        <v>1105</v>
      </c>
      <c r="P9" s="10" t="s">
        <v>49</v>
      </c>
      <c r="Q9" s="10" t="n">
        <v>33921.812</v>
      </c>
      <c r="R9" s="10" t="n">
        <v>33921.812</v>
      </c>
      <c r="T9" s="10" t="n">
        <v>0.08</v>
      </c>
      <c r="U9" s="10" t="n">
        <v>0.2</v>
      </c>
      <c r="V9" s="10" t="n">
        <v>0.096</v>
      </c>
      <c r="W9" s="10" t="n">
        <v>0.72</v>
      </c>
      <c r="X9" s="10" t="n">
        <v>0.12</v>
      </c>
      <c r="Y9" s="10" t="n">
        <v>0.8064</v>
      </c>
      <c r="Z9" s="10" t="n">
        <v>30611.0431488</v>
      </c>
    </row>
    <row r="10" customFormat="false" ht="13.5" hidden="false" customHeight="true" outlineLevel="0" collapsed="false">
      <c r="C10" s="10" t="s">
        <v>35</v>
      </c>
      <c r="D10" s="10" t="s">
        <v>240</v>
      </c>
      <c r="E10" s="10" t="s">
        <v>4</v>
      </c>
      <c r="F10" s="10" t="s">
        <v>1031</v>
      </c>
      <c r="G10" s="10" t="s">
        <v>61</v>
      </c>
      <c r="H10" s="10" t="s">
        <v>99</v>
      </c>
      <c r="I10" s="10" t="s">
        <v>1211</v>
      </c>
      <c r="J10" s="10" t="s">
        <v>1123</v>
      </c>
      <c r="P10" s="10" t="s">
        <v>49</v>
      </c>
      <c r="Q10" s="10" t="n">
        <v>1459.027936</v>
      </c>
      <c r="R10" s="10" t="n">
        <v>1459.027936</v>
      </c>
      <c r="T10" s="10" t="n">
        <v>0.05</v>
      </c>
      <c r="U10" s="10" t="n">
        <v>0.2</v>
      </c>
      <c r="V10" s="10" t="n">
        <v>0.06</v>
      </c>
      <c r="W10" s="10" t="n">
        <v>1.2</v>
      </c>
      <c r="X10" s="10" t="n">
        <v>0.12</v>
      </c>
      <c r="Y10" s="10" t="n">
        <v>1.344</v>
      </c>
      <c r="Z10" s="10" t="n">
        <v>2048.475222144</v>
      </c>
    </row>
    <row r="11" customFormat="false" ht="13.5" hidden="false" customHeight="true" outlineLevel="0" collapsed="false">
      <c r="C11" s="10" t="s">
        <v>35</v>
      </c>
      <c r="D11" s="10" t="s">
        <v>240</v>
      </c>
      <c r="E11" s="10" t="s">
        <v>4</v>
      </c>
      <c r="F11" s="10" t="s">
        <v>1031</v>
      </c>
      <c r="G11" s="10" t="s">
        <v>61</v>
      </c>
      <c r="H11" s="10" t="s">
        <v>99</v>
      </c>
      <c r="I11" s="10" t="s">
        <v>1212</v>
      </c>
      <c r="J11" s="10" t="s">
        <v>1122</v>
      </c>
      <c r="P11" s="10" t="s">
        <v>39</v>
      </c>
      <c r="Q11" s="10" t="n">
        <v>2201</v>
      </c>
      <c r="R11" s="10" t="n">
        <v>2201</v>
      </c>
      <c r="T11" s="10" t="n">
        <v>1.5</v>
      </c>
      <c r="U11" s="10" t="n">
        <v>0.2</v>
      </c>
      <c r="V11" s="10" t="n">
        <v>1.8</v>
      </c>
      <c r="W11" s="10" t="n">
        <v>4.5</v>
      </c>
      <c r="X11" s="10" t="n">
        <v>0.12</v>
      </c>
      <c r="Y11" s="10" t="n">
        <v>5.04</v>
      </c>
      <c r="Z11" s="10" t="n">
        <v>15054.84</v>
      </c>
    </row>
    <row r="12" customFormat="false" ht="13.5" hidden="false" customHeight="true" outlineLevel="0" collapsed="false">
      <c r="C12" s="10" t="s">
        <v>35</v>
      </c>
      <c r="D12" s="10" t="s">
        <v>240</v>
      </c>
      <c r="E12" s="10" t="s">
        <v>4</v>
      </c>
      <c r="F12" s="10" t="s">
        <v>1031</v>
      </c>
      <c r="G12" s="10" t="s">
        <v>61</v>
      </c>
      <c r="H12" s="10" t="s">
        <v>99</v>
      </c>
      <c r="I12" s="10" t="s">
        <v>1213</v>
      </c>
      <c r="J12" s="10" t="s">
        <v>1115</v>
      </c>
      <c r="P12" s="10" t="s">
        <v>1116</v>
      </c>
      <c r="Q12" s="10" t="n">
        <v>1</v>
      </c>
      <c r="R12" s="10" t="n">
        <v>1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200</v>
      </c>
      <c r="X12" s="10" t="n">
        <v>0.1</v>
      </c>
      <c r="Y12" s="10" t="n">
        <v>220</v>
      </c>
      <c r="Z12" s="10" t="n">
        <v>220</v>
      </c>
    </row>
    <row r="13" customFormat="false" ht="13.5" hidden="false" customHeight="true" outlineLevel="0" collapsed="false">
      <c r="C13" s="10" t="s">
        <v>35</v>
      </c>
      <c r="D13" s="10" t="s">
        <v>826</v>
      </c>
      <c r="E13" s="10" t="s">
        <v>4</v>
      </c>
      <c r="F13" s="10" t="s">
        <v>1031</v>
      </c>
      <c r="G13" s="10" t="s">
        <v>61</v>
      </c>
      <c r="H13" s="10" t="s">
        <v>1214</v>
      </c>
      <c r="I13" s="10" t="s">
        <v>1215</v>
      </c>
      <c r="J13" s="10" t="s">
        <v>141</v>
      </c>
      <c r="P13" s="10" t="s">
        <v>47</v>
      </c>
      <c r="Q13" s="10" t="n">
        <v>1283.17</v>
      </c>
      <c r="R13" s="10" t="n">
        <v>1283.17</v>
      </c>
      <c r="T13" s="10" t="n">
        <v>3</v>
      </c>
      <c r="U13" s="10" t="n">
        <v>0.2</v>
      </c>
      <c r="V13" s="10" t="n">
        <v>3.6</v>
      </c>
      <c r="W13" s="10" t="n">
        <v>0</v>
      </c>
      <c r="X13" s="10" t="n">
        <v>0</v>
      </c>
      <c r="Y13" s="10" t="n">
        <v>0</v>
      </c>
      <c r="Z13" s="10" t="n">
        <v>4619.412</v>
      </c>
    </row>
    <row r="14" customFormat="false" ht="13.5" hidden="false" customHeight="true" outlineLevel="0" collapsed="false">
      <c r="C14" s="10" t="s">
        <v>35</v>
      </c>
      <c r="D14" s="10" t="s">
        <v>826</v>
      </c>
      <c r="E14" s="10" t="s">
        <v>4</v>
      </c>
      <c r="F14" s="10" t="s">
        <v>1031</v>
      </c>
      <c r="G14" s="10" t="s">
        <v>61</v>
      </c>
      <c r="H14" s="10" t="s">
        <v>1214</v>
      </c>
      <c r="I14" s="10" t="s">
        <v>1215</v>
      </c>
      <c r="J14" s="10" t="s">
        <v>142</v>
      </c>
      <c r="P14" s="10" t="s">
        <v>47</v>
      </c>
      <c r="Q14" s="10" t="n">
        <v>1283.17</v>
      </c>
      <c r="R14" s="10" t="n">
        <v>1283.17</v>
      </c>
      <c r="T14" s="10" t="n">
        <v>4</v>
      </c>
      <c r="U14" s="10" t="n">
        <v>0.2</v>
      </c>
      <c r="V14" s="10" t="n">
        <v>4.8</v>
      </c>
      <c r="W14" s="10" t="n">
        <v>0</v>
      </c>
      <c r="X14" s="10" t="n">
        <v>0</v>
      </c>
      <c r="Y14" s="10" t="n">
        <v>0</v>
      </c>
      <c r="Z14" s="10" t="n">
        <v>6159.216</v>
      </c>
    </row>
    <row r="15" customFormat="false" ht="13.5" hidden="false" customHeight="true" outlineLevel="0" collapsed="false">
      <c r="C15" s="10" t="s">
        <v>35</v>
      </c>
      <c r="D15" s="10" t="s">
        <v>826</v>
      </c>
      <c r="E15" s="10" t="s">
        <v>4</v>
      </c>
      <c r="F15" s="10" t="s">
        <v>1031</v>
      </c>
      <c r="G15" s="10" t="s">
        <v>61</v>
      </c>
      <c r="H15" s="10" t="s">
        <v>1214</v>
      </c>
      <c r="I15" s="10" t="s">
        <v>1215</v>
      </c>
      <c r="J15" s="10" t="s">
        <v>1118</v>
      </c>
      <c r="P15" s="10" t="s">
        <v>47</v>
      </c>
      <c r="Q15" s="10" t="n">
        <v>1148.424</v>
      </c>
      <c r="R15" s="10" t="n">
        <v>1148.424</v>
      </c>
      <c r="T15" s="10" t="n">
        <v>4</v>
      </c>
      <c r="U15" s="10" t="n">
        <v>0.2</v>
      </c>
      <c r="V15" s="10" t="n">
        <v>4.8</v>
      </c>
      <c r="W15" s="10" t="n">
        <v>0</v>
      </c>
      <c r="X15" s="10" t="n">
        <v>0</v>
      </c>
      <c r="Y15" s="10" t="n">
        <v>0</v>
      </c>
      <c r="Z15" s="10" t="n">
        <v>5512.4352</v>
      </c>
    </row>
    <row r="16" customFormat="false" ht="13.5" hidden="false" customHeight="true" outlineLevel="0" collapsed="false">
      <c r="C16" s="10" t="s">
        <v>35</v>
      </c>
      <c r="D16" s="10" t="s">
        <v>826</v>
      </c>
      <c r="E16" s="10" t="s">
        <v>4</v>
      </c>
      <c r="F16" s="10" t="s">
        <v>1031</v>
      </c>
      <c r="G16" s="10" t="s">
        <v>61</v>
      </c>
      <c r="H16" s="10" t="s">
        <v>1214</v>
      </c>
      <c r="I16" s="10" t="s">
        <v>110</v>
      </c>
      <c r="J16" s="10" t="s">
        <v>1109</v>
      </c>
      <c r="P16" s="10" t="s">
        <v>47</v>
      </c>
      <c r="Q16" s="10" t="n">
        <v>134.746</v>
      </c>
      <c r="R16" s="10" t="n">
        <v>134.746</v>
      </c>
      <c r="T16" s="10" t="n">
        <v>10</v>
      </c>
      <c r="U16" s="10" t="n">
        <v>0.2</v>
      </c>
      <c r="V16" s="10" t="n">
        <v>12</v>
      </c>
      <c r="W16" s="10" t="n">
        <v>98</v>
      </c>
      <c r="X16" s="10" t="n">
        <v>0.12</v>
      </c>
      <c r="Y16" s="10" t="n">
        <v>109.76</v>
      </c>
      <c r="Z16" s="10" t="n">
        <v>16406.67296</v>
      </c>
    </row>
    <row r="17" customFormat="false" ht="13.5" hidden="false" customHeight="true" outlineLevel="0" collapsed="false">
      <c r="C17" s="10" t="s">
        <v>35</v>
      </c>
      <c r="D17" s="10" t="s">
        <v>826</v>
      </c>
      <c r="E17" s="10" t="s">
        <v>4</v>
      </c>
      <c r="F17" s="10" t="s">
        <v>1031</v>
      </c>
      <c r="G17" s="10" t="s">
        <v>61</v>
      </c>
      <c r="H17" s="10" t="s">
        <v>1214</v>
      </c>
      <c r="I17" s="10" t="s">
        <v>153</v>
      </c>
      <c r="J17" s="10" t="s">
        <v>153</v>
      </c>
      <c r="P17" s="10" t="s">
        <v>45</v>
      </c>
      <c r="Q17" s="10" t="n">
        <v>200.935</v>
      </c>
      <c r="R17" s="10" t="n">
        <v>200.935</v>
      </c>
      <c r="T17" s="10" t="n">
        <v>6</v>
      </c>
      <c r="U17" s="10" t="n">
        <v>0.2</v>
      </c>
      <c r="V17" s="10" t="n">
        <v>7.2</v>
      </c>
      <c r="W17" s="10" t="n">
        <v>5</v>
      </c>
      <c r="X17" s="10" t="n">
        <v>0.12</v>
      </c>
      <c r="Y17" s="10" t="n">
        <v>5.6</v>
      </c>
      <c r="Z17" s="10" t="n">
        <v>2571.968</v>
      </c>
    </row>
    <row r="18" customFormat="false" ht="13.5" hidden="false" customHeight="true" outlineLevel="0" collapsed="false">
      <c r="C18" s="10" t="s">
        <v>35</v>
      </c>
      <c r="D18" s="10" t="s">
        <v>826</v>
      </c>
      <c r="E18" s="10" t="s">
        <v>4</v>
      </c>
      <c r="F18" s="10" t="s">
        <v>1031</v>
      </c>
      <c r="G18" s="10" t="s">
        <v>61</v>
      </c>
      <c r="H18" s="10" t="s">
        <v>1214</v>
      </c>
      <c r="I18" s="10" t="s">
        <v>111</v>
      </c>
      <c r="J18" s="10" t="s">
        <v>1100</v>
      </c>
      <c r="P18" s="10" t="s">
        <v>49</v>
      </c>
      <c r="Q18" s="10" t="n">
        <v>34.55</v>
      </c>
      <c r="R18" s="10" t="n">
        <v>34.55</v>
      </c>
      <c r="T18" s="10" t="n">
        <v>0.12</v>
      </c>
      <c r="U18" s="10" t="n">
        <v>0.2</v>
      </c>
      <c r="V18" s="10" t="n">
        <v>0.144</v>
      </c>
      <c r="W18" s="10" t="n">
        <v>0.78</v>
      </c>
      <c r="X18" s="10" t="n">
        <v>0.12</v>
      </c>
      <c r="Y18" s="10" t="n">
        <v>0.8736</v>
      </c>
      <c r="Z18" s="10" t="n">
        <v>35.15808</v>
      </c>
    </row>
    <row r="19" customFormat="false" ht="13.5" hidden="false" customHeight="true" outlineLevel="0" collapsed="false">
      <c r="C19" s="10" t="s">
        <v>35</v>
      </c>
      <c r="D19" s="10" t="s">
        <v>826</v>
      </c>
      <c r="E19" s="10" t="s">
        <v>4</v>
      </c>
      <c r="F19" s="10" t="s">
        <v>1031</v>
      </c>
      <c r="G19" s="10" t="s">
        <v>61</v>
      </c>
      <c r="H19" s="10" t="s">
        <v>1214</v>
      </c>
      <c r="I19" s="10" t="s">
        <v>111</v>
      </c>
      <c r="J19" s="10" t="s">
        <v>1101</v>
      </c>
      <c r="P19" s="10" t="s">
        <v>49</v>
      </c>
      <c r="Q19" s="10" t="n">
        <v>2639.1376</v>
      </c>
      <c r="R19" s="10" t="n">
        <v>2639.1376</v>
      </c>
      <c r="T19" s="10" t="n">
        <v>0.11</v>
      </c>
      <c r="U19" s="10" t="n">
        <v>0.2</v>
      </c>
      <c r="V19" s="10" t="n">
        <v>0.132</v>
      </c>
      <c r="W19" s="10" t="n">
        <v>0.76</v>
      </c>
      <c r="X19" s="10" t="n">
        <v>0.12</v>
      </c>
      <c r="Y19" s="10" t="n">
        <v>0.8512</v>
      </c>
      <c r="Z19" s="10" t="n">
        <v>2594.80008832</v>
      </c>
    </row>
    <row r="20" customFormat="false" ht="13.5" hidden="false" customHeight="true" outlineLevel="0" collapsed="false">
      <c r="C20" s="10" t="s">
        <v>35</v>
      </c>
      <c r="D20" s="10" t="s">
        <v>826</v>
      </c>
      <c r="E20" s="10" t="s">
        <v>4</v>
      </c>
      <c r="F20" s="10" t="s">
        <v>1031</v>
      </c>
      <c r="G20" s="10" t="s">
        <v>61</v>
      </c>
      <c r="H20" s="10" t="s">
        <v>1214</v>
      </c>
      <c r="I20" s="10" t="s">
        <v>111</v>
      </c>
      <c r="J20" s="10" t="s">
        <v>1103</v>
      </c>
      <c r="P20" s="10" t="s">
        <v>49</v>
      </c>
      <c r="Q20" s="10" t="n">
        <v>1372.388</v>
      </c>
      <c r="R20" s="10" t="n">
        <v>1372.388</v>
      </c>
      <c r="T20" s="10" t="n">
        <v>0.1</v>
      </c>
      <c r="U20" s="10" t="n">
        <v>0.2</v>
      </c>
      <c r="V20" s="10" t="n">
        <v>0.12</v>
      </c>
      <c r="W20" s="10" t="n">
        <v>0.74</v>
      </c>
      <c r="X20" s="10" t="n">
        <v>0.12</v>
      </c>
      <c r="Y20" s="10" t="n">
        <v>0.8288</v>
      </c>
      <c r="Z20" s="10" t="n">
        <v>1302.1217344</v>
      </c>
    </row>
    <row r="21" customFormat="false" ht="13.5" hidden="false" customHeight="true" outlineLevel="0" collapsed="false">
      <c r="C21" s="10" t="s">
        <v>35</v>
      </c>
      <c r="D21" s="10" t="s">
        <v>826</v>
      </c>
      <c r="E21" s="10" t="s">
        <v>4</v>
      </c>
      <c r="F21" s="10" t="s">
        <v>1031</v>
      </c>
      <c r="G21" s="10" t="s">
        <v>61</v>
      </c>
      <c r="H21" s="10" t="s">
        <v>1214</v>
      </c>
      <c r="I21" s="10" t="s">
        <v>111</v>
      </c>
      <c r="J21" s="10" t="s">
        <v>1104</v>
      </c>
      <c r="P21" s="10" t="s">
        <v>49</v>
      </c>
      <c r="Q21" s="10" t="n">
        <v>11795.979</v>
      </c>
      <c r="R21" s="10" t="n">
        <v>11795.979</v>
      </c>
      <c r="T21" s="10" t="n">
        <v>0.09</v>
      </c>
      <c r="U21" s="10" t="n">
        <v>0.2</v>
      </c>
      <c r="V21" s="10" t="n">
        <v>0.108</v>
      </c>
      <c r="W21" s="10" t="n">
        <v>0.73</v>
      </c>
      <c r="X21" s="10" t="n">
        <v>0.12</v>
      </c>
      <c r="Y21" s="10" t="n">
        <v>0.8176</v>
      </c>
      <c r="Z21" s="10" t="n">
        <v>10918.3581624</v>
      </c>
    </row>
    <row r="22" customFormat="false" ht="13.5" hidden="false" customHeight="true" outlineLevel="0" collapsed="false">
      <c r="C22" s="10" t="s">
        <v>35</v>
      </c>
      <c r="D22" s="10" t="s">
        <v>826</v>
      </c>
      <c r="E22" s="10" t="s">
        <v>4</v>
      </c>
      <c r="F22" s="10" t="s">
        <v>1031</v>
      </c>
      <c r="G22" s="10" t="s">
        <v>61</v>
      </c>
      <c r="H22" s="10" t="s">
        <v>1214</v>
      </c>
      <c r="I22" s="10" t="s">
        <v>111</v>
      </c>
      <c r="J22" s="10" t="s">
        <v>1105</v>
      </c>
      <c r="P22" s="10" t="s">
        <v>49</v>
      </c>
      <c r="Q22" s="10" t="n">
        <v>1694</v>
      </c>
      <c r="R22" s="10" t="n">
        <v>1694</v>
      </c>
      <c r="T22" s="10" t="n">
        <v>0.08</v>
      </c>
      <c r="U22" s="10" t="n">
        <v>0.2</v>
      </c>
      <c r="V22" s="10" t="n">
        <v>0.096</v>
      </c>
      <c r="W22" s="10" t="n">
        <v>0.72</v>
      </c>
      <c r="X22" s="10" t="n">
        <v>0.12</v>
      </c>
      <c r="Y22" s="10" t="n">
        <v>0.8064</v>
      </c>
      <c r="Z22" s="10" t="n">
        <v>1528.6656</v>
      </c>
    </row>
    <row r="23" customFormat="false" ht="13.5" hidden="false" customHeight="true" outlineLevel="0" collapsed="false">
      <c r="C23" s="10" t="s">
        <v>35</v>
      </c>
      <c r="D23" s="10" t="s">
        <v>826</v>
      </c>
      <c r="E23" s="10" t="s">
        <v>4</v>
      </c>
      <c r="F23" s="10" t="s">
        <v>1031</v>
      </c>
      <c r="G23" s="10" t="s">
        <v>61</v>
      </c>
      <c r="H23" s="10" t="s">
        <v>1214</v>
      </c>
      <c r="I23" s="10" t="s">
        <v>111</v>
      </c>
      <c r="J23" s="10" t="s">
        <v>1106</v>
      </c>
      <c r="P23" s="10" t="s">
        <v>49</v>
      </c>
      <c r="Q23" s="10" t="n">
        <v>10611.798</v>
      </c>
      <c r="R23" s="10" t="n">
        <v>10611.798</v>
      </c>
      <c r="T23" s="10" t="n">
        <v>0.08</v>
      </c>
      <c r="U23" s="10" t="n">
        <v>0.2</v>
      </c>
      <c r="V23" s="10" t="n">
        <v>0.096</v>
      </c>
      <c r="W23" s="10" t="n">
        <v>0.71</v>
      </c>
      <c r="X23" s="10" t="n">
        <v>0.12</v>
      </c>
      <c r="Y23" s="10" t="n">
        <v>0.7952</v>
      </c>
      <c r="Z23" s="10" t="n">
        <v>9457.2343776</v>
      </c>
    </row>
    <row r="24" customFormat="false" ht="13.5" hidden="false" customHeight="true" outlineLevel="0" collapsed="false">
      <c r="C24" s="10" t="s">
        <v>35</v>
      </c>
      <c r="D24" s="10" t="s">
        <v>826</v>
      </c>
      <c r="E24" s="10" t="s">
        <v>4</v>
      </c>
      <c r="F24" s="10" t="s">
        <v>1031</v>
      </c>
      <c r="G24" s="10" t="s">
        <v>61</v>
      </c>
      <c r="H24" s="10" t="s">
        <v>1214</v>
      </c>
      <c r="I24" s="10" t="s">
        <v>1211</v>
      </c>
      <c r="J24" s="10" t="s">
        <v>1123</v>
      </c>
      <c r="P24" s="10" t="s">
        <v>49</v>
      </c>
      <c r="Q24" s="10" t="n">
        <v>1069.636584</v>
      </c>
      <c r="R24" s="10" t="n">
        <v>1069.636584</v>
      </c>
      <c r="T24" s="10" t="n">
        <v>0.05</v>
      </c>
      <c r="U24" s="10" t="n">
        <v>0.2</v>
      </c>
      <c r="V24" s="10" t="n">
        <v>0.06</v>
      </c>
      <c r="W24" s="10" t="n">
        <v>1.2</v>
      </c>
      <c r="X24" s="10" t="n">
        <v>0.12</v>
      </c>
      <c r="Y24" s="10" t="n">
        <v>1.344</v>
      </c>
      <c r="Z24" s="10" t="n">
        <v>1501.769763936</v>
      </c>
    </row>
    <row r="25" customFormat="false" ht="13.5" hidden="false" customHeight="true" outlineLevel="0" collapsed="false">
      <c r="C25" s="10" t="s">
        <v>35</v>
      </c>
      <c r="D25" s="10" t="s">
        <v>826</v>
      </c>
      <c r="E25" s="10" t="s">
        <v>4</v>
      </c>
      <c r="F25" s="10" t="s">
        <v>1031</v>
      </c>
      <c r="G25" s="10" t="s">
        <v>61</v>
      </c>
      <c r="H25" s="10" t="s">
        <v>1214</v>
      </c>
      <c r="I25" s="10" t="s">
        <v>145</v>
      </c>
      <c r="J25" s="10" t="s">
        <v>146</v>
      </c>
      <c r="P25" s="10" t="s">
        <v>45</v>
      </c>
      <c r="Q25" s="10" t="n">
        <v>131.43</v>
      </c>
      <c r="R25" s="10" t="n">
        <v>131.43</v>
      </c>
      <c r="T25" s="10" t="n">
        <v>2</v>
      </c>
      <c r="U25" s="10" t="n">
        <v>0.2</v>
      </c>
      <c r="V25" s="10" t="n">
        <v>2.4</v>
      </c>
      <c r="W25" s="10" t="n">
        <v>0</v>
      </c>
      <c r="X25" s="10" t="n">
        <v>0</v>
      </c>
      <c r="Y25" s="10" t="n">
        <v>0</v>
      </c>
      <c r="Z25" s="10" t="n">
        <v>315.432</v>
      </c>
    </row>
    <row r="26" customFormat="false" ht="13.5" hidden="false" customHeight="true" outlineLevel="0" collapsed="false">
      <c r="C26" s="10" t="s">
        <v>35</v>
      </c>
      <c r="D26" s="10" t="s">
        <v>826</v>
      </c>
      <c r="E26" s="10" t="s">
        <v>4</v>
      </c>
      <c r="F26" s="10" t="s">
        <v>1031</v>
      </c>
      <c r="G26" s="10" t="s">
        <v>61</v>
      </c>
      <c r="H26" s="10" t="s">
        <v>1214</v>
      </c>
      <c r="I26" s="10" t="s">
        <v>151</v>
      </c>
      <c r="J26" s="10" t="s">
        <v>1107</v>
      </c>
      <c r="P26" s="10" t="s">
        <v>47</v>
      </c>
      <c r="Q26" s="10" t="n">
        <v>14.8565</v>
      </c>
      <c r="R26" s="10" t="n">
        <v>14.8565</v>
      </c>
      <c r="T26" s="10" t="n">
        <v>7</v>
      </c>
      <c r="U26" s="10" t="n">
        <v>0.2</v>
      </c>
      <c r="V26" s="10" t="n">
        <v>8.4</v>
      </c>
      <c r="W26" s="10" t="n">
        <v>75</v>
      </c>
      <c r="X26" s="10" t="n">
        <v>0.12</v>
      </c>
      <c r="Y26" s="10" t="n">
        <v>84</v>
      </c>
      <c r="Z26" s="10" t="n">
        <v>1372.7406</v>
      </c>
    </row>
    <row r="27" customFormat="false" ht="13.5" hidden="false" customHeight="true" outlineLevel="0" collapsed="false">
      <c r="C27" s="10" t="s">
        <v>35</v>
      </c>
      <c r="D27" s="10" t="s">
        <v>826</v>
      </c>
      <c r="E27" s="10" t="s">
        <v>4</v>
      </c>
      <c r="F27" s="10" t="s">
        <v>1031</v>
      </c>
      <c r="G27" s="10" t="s">
        <v>61</v>
      </c>
      <c r="H27" s="10" t="s">
        <v>1214</v>
      </c>
      <c r="I27" s="10" t="s">
        <v>163</v>
      </c>
      <c r="J27" s="10" t="s">
        <v>1114</v>
      </c>
      <c r="P27" s="10" t="s">
        <v>39</v>
      </c>
      <c r="Q27" s="10" t="n">
        <v>18</v>
      </c>
      <c r="R27" s="10" t="n">
        <v>18</v>
      </c>
      <c r="S27" s="10" t="n">
        <v>0</v>
      </c>
      <c r="T27" s="10" t="n">
        <v>1.5</v>
      </c>
      <c r="U27" s="10" t="n">
        <v>0.2</v>
      </c>
      <c r="V27" s="10" t="n">
        <v>1.8</v>
      </c>
      <c r="W27" s="10" t="n">
        <v>4</v>
      </c>
      <c r="X27" s="10" t="n">
        <v>0.12</v>
      </c>
      <c r="Y27" s="10" t="n">
        <v>4.48</v>
      </c>
      <c r="Z27" s="10" t="n">
        <v>113.04</v>
      </c>
    </row>
    <row r="28" customFormat="false" ht="13.5" hidden="false" customHeight="true" outlineLevel="0" collapsed="false">
      <c r="C28" s="10" t="s">
        <v>35</v>
      </c>
      <c r="D28" s="10" t="s">
        <v>826</v>
      </c>
      <c r="E28" s="10" t="s">
        <v>4</v>
      </c>
      <c r="F28" s="10" t="s">
        <v>1031</v>
      </c>
      <c r="G28" s="10" t="s">
        <v>61</v>
      </c>
      <c r="H28" s="10" t="s">
        <v>1214</v>
      </c>
      <c r="I28" s="10" t="s">
        <v>1216</v>
      </c>
      <c r="J28" s="10" t="s">
        <v>1108</v>
      </c>
      <c r="P28" s="10" t="s">
        <v>45</v>
      </c>
      <c r="Q28" s="10" t="n">
        <v>7.2695</v>
      </c>
      <c r="R28" s="10" t="n">
        <v>7.2695</v>
      </c>
      <c r="T28" s="10" t="n">
        <v>2</v>
      </c>
      <c r="U28" s="10" t="n">
        <v>0.2</v>
      </c>
      <c r="V28" s="10" t="n">
        <v>2.4</v>
      </c>
      <c r="W28" s="10" t="n">
        <v>6.5</v>
      </c>
      <c r="X28" s="10" t="n">
        <v>0.12</v>
      </c>
      <c r="Y28" s="10" t="n">
        <v>7.28</v>
      </c>
      <c r="Z28" s="10" t="n">
        <v>70.36876</v>
      </c>
    </row>
    <row r="29" customFormat="false" ht="13.5" hidden="false" customHeight="true" outlineLevel="0" collapsed="false">
      <c r="C29" s="10" t="s">
        <v>35</v>
      </c>
      <c r="D29" s="10" t="s">
        <v>826</v>
      </c>
      <c r="E29" s="10" t="s">
        <v>4</v>
      </c>
      <c r="F29" s="10" t="s">
        <v>1031</v>
      </c>
      <c r="G29" s="10" t="s">
        <v>61</v>
      </c>
      <c r="H29" s="10" t="s">
        <v>1217</v>
      </c>
      <c r="I29" s="10" t="s">
        <v>1215</v>
      </c>
      <c r="J29" s="10" t="s">
        <v>141</v>
      </c>
      <c r="P29" s="10" t="s">
        <v>47</v>
      </c>
      <c r="Q29" s="10" t="n">
        <v>288</v>
      </c>
      <c r="R29" s="10" t="n">
        <v>288</v>
      </c>
      <c r="T29" s="10" t="n">
        <v>3</v>
      </c>
      <c r="U29" s="10" t="n">
        <v>0.2</v>
      </c>
      <c r="V29" s="10" t="n">
        <v>3.6</v>
      </c>
      <c r="W29" s="10" t="n">
        <v>0</v>
      </c>
      <c r="X29" s="10" t="n">
        <v>0</v>
      </c>
      <c r="Y29" s="10" t="n">
        <v>0</v>
      </c>
      <c r="Z29" s="10" t="n">
        <v>1036.8</v>
      </c>
    </row>
    <row r="30" customFormat="false" ht="13.5" hidden="false" customHeight="true" outlineLevel="0" collapsed="false">
      <c r="C30" s="10" t="s">
        <v>35</v>
      </c>
      <c r="D30" s="10" t="s">
        <v>826</v>
      </c>
      <c r="E30" s="10" t="s">
        <v>4</v>
      </c>
      <c r="F30" s="10" t="s">
        <v>1031</v>
      </c>
      <c r="G30" s="10" t="s">
        <v>61</v>
      </c>
      <c r="H30" s="10" t="s">
        <v>1217</v>
      </c>
      <c r="I30" s="10" t="s">
        <v>1215</v>
      </c>
      <c r="J30" s="10" t="s">
        <v>142</v>
      </c>
      <c r="P30" s="10" t="s">
        <v>47</v>
      </c>
      <c r="Q30" s="10" t="n">
        <v>288</v>
      </c>
      <c r="R30" s="10" t="n">
        <v>288</v>
      </c>
      <c r="T30" s="10" t="n">
        <v>4</v>
      </c>
      <c r="U30" s="10" t="n">
        <v>0.2</v>
      </c>
      <c r="V30" s="10" t="n">
        <v>4.8</v>
      </c>
      <c r="W30" s="10" t="n">
        <v>0</v>
      </c>
      <c r="X30" s="10" t="n">
        <v>0</v>
      </c>
      <c r="Y30" s="10" t="n">
        <v>0</v>
      </c>
      <c r="Z30" s="10" t="n">
        <v>1382.4</v>
      </c>
    </row>
    <row r="31" customFormat="false" ht="13.5" hidden="false" customHeight="true" outlineLevel="0" collapsed="false">
      <c r="C31" s="10" t="s">
        <v>35</v>
      </c>
      <c r="D31" s="10" t="s">
        <v>826</v>
      </c>
      <c r="E31" s="10" t="s">
        <v>4</v>
      </c>
      <c r="F31" s="10" t="s">
        <v>1031</v>
      </c>
      <c r="G31" s="10" t="s">
        <v>61</v>
      </c>
      <c r="H31" s="10" t="s">
        <v>1217</v>
      </c>
      <c r="I31" s="10" t="s">
        <v>1215</v>
      </c>
      <c r="J31" s="10" t="s">
        <v>1118</v>
      </c>
      <c r="P31" s="10" t="s">
        <v>47</v>
      </c>
      <c r="Q31" s="10" t="n">
        <v>222</v>
      </c>
      <c r="R31" s="10" t="n">
        <v>222</v>
      </c>
      <c r="T31" s="10" t="n">
        <v>4</v>
      </c>
      <c r="U31" s="10" t="n">
        <v>0.2</v>
      </c>
      <c r="V31" s="10" t="n">
        <v>4.8</v>
      </c>
      <c r="W31" s="10" t="n">
        <v>0</v>
      </c>
      <c r="X31" s="10" t="n">
        <v>0</v>
      </c>
      <c r="Y31" s="10" t="n">
        <v>0</v>
      </c>
      <c r="Z31" s="10" t="n">
        <v>1065.6</v>
      </c>
    </row>
    <row r="32" customFormat="false" ht="13.5" hidden="false" customHeight="true" outlineLevel="0" collapsed="false">
      <c r="C32" s="10" t="s">
        <v>35</v>
      </c>
      <c r="D32" s="10" t="s">
        <v>826</v>
      </c>
      <c r="E32" s="10" t="s">
        <v>4</v>
      </c>
      <c r="F32" s="10" t="s">
        <v>1031</v>
      </c>
      <c r="G32" s="10" t="s">
        <v>61</v>
      </c>
      <c r="H32" s="10" t="s">
        <v>1217</v>
      </c>
      <c r="I32" s="10" t="s">
        <v>110</v>
      </c>
      <c r="J32" s="10" t="s">
        <v>1109</v>
      </c>
      <c r="P32" s="10" t="s">
        <v>47</v>
      </c>
      <c r="Q32" s="10" t="n">
        <v>66</v>
      </c>
      <c r="R32" s="10" t="n">
        <v>66</v>
      </c>
      <c r="T32" s="10" t="n">
        <v>10</v>
      </c>
      <c r="U32" s="10" t="n">
        <v>0.2</v>
      </c>
      <c r="V32" s="10" t="n">
        <v>12</v>
      </c>
      <c r="W32" s="10" t="n">
        <v>98</v>
      </c>
      <c r="X32" s="10" t="n">
        <v>0.12</v>
      </c>
      <c r="Y32" s="10" t="n">
        <v>109.76</v>
      </c>
      <c r="Z32" s="10" t="n">
        <v>8036.16</v>
      </c>
    </row>
    <row r="33" customFormat="false" ht="13.5" hidden="false" customHeight="true" outlineLevel="0" collapsed="false">
      <c r="C33" s="10" t="s">
        <v>35</v>
      </c>
      <c r="D33" s="10" t="s">
        <v>826</v>
      </c>
      <c r="E33" s="10" t="s">
        <v>4</v>
      </c>
      <c r="F33" s="10" t="s">
        <v>1031</v>
      </c>
      <c r="G33" s="10" t="s">
        <v>61</v>
      </c>
      <c r="H33" s="10" t="s">
        <v>1217</v>
      </c>
      <c r="I33" s="10" t="s">
        <v>153</v>
      </c>
      <c r="J33" s="10" t="s">
        <v>153</v>
      </c>
      <c r="P33" s="10" t="s">
        <v>45</v>
      </c>
      <c r="Q33" s="10" t="n">
        <v>556</v>
      </c>
      <c r="R33" s="10" t="n">
        <v>556</v>
      </c>
      <c r="T33" s="10" t="n">
        <v>6</v>
      </c>
      <c r="U33" s="10" t="n">
        <v>0.2</v>
      </c>
      <c r="V33" s="10" t="n">
        <v>7.2</v>
      </c>
      <c r="W33" s="10" t="n">
        <v>5</v>
      </c>
      <c r="X33" s="10" t="n">
        <v>0.12</v>
      </c>
      <c r="Y33" s="10" t="n">
        <v>5.6</v>
      </c>
      <c r="Z33" s="10" t="n">
        <v>7116.8</v>
      </c>
    </row>
    <row r="34" customFormat="false" ht="13.5" hidden="false" customHeight="true" outlineLevel="0" collapsed="false">
      <c r="C34" s="10" t="s">
        <v>35</v>
      </c>
      <c r="D34" s="10" t="s">
        <v>826</v>
      </c>
      <c r="E34" s="10" t="s">
        <v>4</v>
      </c>
      <c r="F34" s="10" t="s">
        <v>1031</v>
      </c>
      <c r="G34" s="10" t="s">
        <v>61</v>
      </c>
      <c r="H34" s="10" t="s">
        <v>1217</v>
      </c>
      <c r="I34" s="10" t="s">
        <v>145</v>
      </c>
      <c r="J34" s="10" t="s">
        <v>146</v>
      </c>
      <c r="P34" s="10" t="s">
        <v>45</v>
      </c>
      <c r="Q34" s="10" t="n">
        <v>70</v>
      </c>
      <c r="R34" s="10" t="n">
        <v>70</v>
      </c>
      <c r="T34" s="10" t="n">
        <v>2</v>
      </c>
      <c r="U34" s="10" t="n">
        <v>0.2</v>
      </c>
      <c r="V34" s="10" t="n">
        <v>2.4</v>
      </c>
      <c r="W34" s="10" t="n">
        <v>0</v>
      </c>
      <c r="X34" s="10" t="n">
        <v>0</v>
      </c>
      <c r="Y34" s="10" t="n">
        <v>0</v>
      </c>
      <c r="Z34" s="10" t="n">
        <v>168</v>
      </c>
    </row>
    <row r="35" customFormat="false" ht="13.5" hidden="false" customHeight="true" outlineLevel="0" collapsed="false">
      <c r="C35" s="10" t="s">
        <v>35</v>
      </c>
      <c r="D35" s="10" t="s">
        <v>826</v>
      </c>
      <c r="E35" s="10" t="s">
        <v>4</v>
      </c>
      <c r="F35" s="10" t="s">
        <v>1031</v>
      </c>
      <c r="G35" s="10" t="s">
        <v>61</v>
      </c>
      <c r="H35" s="10" t="s">
        <v>1217</v>
      </c>
      <c r="I35" s="10" t="s">
        <v>151</v>
      </c>
      <c r="J35" s="10" t="s">
        <v>1107</v>
      </c>
      <c r="P35" s="10" t="s">
        <v>47</v>
      </c>
      <c r="Q35" s="10" t="n">
        <v>3.5</v>
      </c>
      <c r="R35" s="10" t="n">
        <v>3.5</v>
      </c>
      <c r="T35" s="10" t="n">
        <v>7</v>
      </c>
      <c r="U35" s="10" t="n">
        <v>0.2</v>
      </c>
      <c r="V35" s="10" t="n">
        <v>8.4</v>
      </c>
      <c r="W35" s="10" t="n">
        <v>75</v>
      </c>
      <c r="X35" s="10" t="n">
        <v>0.12</v>
      </c>
      <c r="Y35" s="10" t="n">
        <v>84</v>
      </c>
      <c r="Z35" s="10" t="n">
        <v>323.4</v>
      </c>
    </row>
    <row r="36" customFormat="false" ht="13.5" hidden="false" customHeight="true" outlineLevel="0" collapsed="false">
      <c r="C36" s="10" t="s">
        <v>35</v>
      </c>
      <c r="D36" s="10" t="s">
        <v>826</v>
      </c>
      <c r="E36" s="10" t="s">
        <v>4</v>
      </c>
      <c r="F36" s="10" t="s">
        <v>1031</v>
      </c>
      <c r="G36" s="10" t="s">
        <v>61</v>
      </c>
      <c r="H36" s="10" t="s">
        <v>1217</v>
      </c>
      <c r="I36" s="10" t="s">
        <v>149</v>
      </c>
      <c r="J36" s="10" t="s">
        <v>1124</v>
      </c>
      <c r="P36" s="10" t="s">
        <v>47</v>
      </c>
      <c r="Q36" s="10" t="n">
        <v>10.5</v>
      </c>
      <c r="R36" s="10" t="n">
        <v>10.5</v>
      </c>
      <c r="T36" s="10" t="n">
        <v>3</v>
      </c>
      <c r="U36" s="10" t="n">
        <v>0.2</v>
      </c>
      <c r="V36" s="10" t="n">
        <v>3.6</v>
      </c>
      <c r="W36" s="10" t="n">
        <v>18</v>
      </c>
      <c r="X36" s="10" t="n">
        <v>0.12</v>
      </c>
      <c r="Y36" s="10" t="n">
        <v>20.16</v>
      </c>
      <c r="Z36" s="10" t="n">
        <v>249.48</v>
      </c>
    </row>
    <row r="37" customFormat="false" ht="13.5" hidden="false" customHeight="true" outlineLevel="0" collapsed="false">
      <c r="C37" s="10" t="s">
        <v>35</v>
      </c>
      <c r="D37" s="10" t="s">
        <v>826</v>
      </c>
      <c r="E37" s="10" t="s">
        <v>4</v>
      </c>
      <c r="F37" s="10" t="s">
        <v>1031</v>
      </c>
      <c r="G37" s="10" t="s">
        <v>61</v>
      </c>
      <c r="H37" s="10" t="s">
        <v>1217</v>
      </c>
      <c r="I37" s="10" t="s">
        <v>163</v>
      </c>
      <c r="J37" s="10" t="s">
        <v>1114</v>
      </c>
      <c r="P37" s="10" t="s">
        <v>39</v>
      </c>
      <c r="Q37" s="10" t="n">
        <v>60</v>
      </c>
      <c r="R37" s="10" t="n">
        <v>18</v>
      </c>
      <c r="S37" s="10" t="n">
        <v>0</v>
      </c>
      <c r="T37" s="10" t="n">
        <v>1.5</v>
      </c>
      <c r="U37" s="10" t="n">
        <v>0.2</v>
      </c>
      <c r="V37" s="10" t="n">
        <v>1.8</v>
      </c>
      <c r="W37" s="10" t="n">
        <v>4</v>
      </c>
      <c r="X37" s="10" t="n">
        <v>0.12</v>
      </c>
      <c r="Y37" s="10" t="n">
        <v>4.48</v>
      </c>
      <c r="Z37" s="10" t="n">
        <v>376.8</v>
      </c>
    </row>
    <row r="38" customFormat="false" ht="13.5" hidden="false" customHeight="true" outlineLevel="0" collapsed="false">
      <c r="C38" s="10" t="s">
        <v>35</v>
      </c>
      <c r="D38" s="10" t="s">
        <v>826</v>
      </c>
      <c r="E38" s="10" t="s">
        <v>4</v>
      </c>
      <c r="F38" s="10" t="s">
        <v>1031</v>
      </c>
      <c r="G38" s="10" t="s">
        <v>61</v>
      </c>
      <c r="H38" s="10" t="s">
        <v>1217</v>
      </c>
      <c r="I38" s="10" t="s">
        <v>111</v>
      </c>
      <c r="J38" s="10" t="s">
        <v>1101</v>
      </c>
      <c r="P38" s="10" t="s">
        <v>49</v>
      </c>
      <c r="Q38" s="10" t="n">
        <v>10560</v>
      </c>
      <c r="R38" s="10" t="n">
        <v>10560</v>
      </c>
      <c r="T38" s="10" t="n">
        <v>0.11</v>
      </c>
      <c r="U38" s="10" t="n">
        <v>0.2</v>
      </c>
      <c r="V38" s="10" t="n">
        <v>0.132</v>
      </c>
      <c r="W38" s="10" t="n">
        <v>0.76</v>
      </c>
      <c r="X38" s="10" t="n">
        <v>0.12</v>
      </c>
      <c r="Y38" s="10" t="n">
        <v>0.8512</v>
      </c>
      <c r="Z38" s="10" t="n">
        <v>10382.592</v>
      </c>
    </row>
    <row r="39" customFormat="false" ht="13.5" hidden="false" customHeight="true" outlineLevel="0" collapsed="false">
      <c r="C39" s="10" t="s">
        <v>35</v>
      </c>
      <c r="D39" s="10" t="s">
        <v>826</v>
      </c>
      <c r="E39" s="10" t="s">
        <v>4</v>
      </c>
      <c r="F39" s="10" t="s">
        <v>1031</v>
      </c>
      <c r="G39" s="10" t="s">
        <v>61</v>
      </c>
      <c r="H39" s="10" t="s">
        <v>1217</v>
      </c>
      <c r="I39" s="10" t="s">
        <v>1211</v>
      </c>
      <c r="J39" s="10" t="s">
        <v>1123</v>
      </c>
      <c r="P39" s="10" t="s">
        <v>49</v>
      </c>
      <c r="Q39" s="10" t="n">
        <v>422.4</v>
      </c>
      <c r="R39" s="10" t="n">
        <v>422.4</v>
      </c>
      <c r="T39" s="10" t="n">
        <v>0.05</v>
      </c>
      <c r="U39" s="10" t="n">
        <v>0.2</v>
      </c>
      <c r="V39" s="10" t="n">
        <v>0.06</v>
      </c>
      <c r="W39" s="10" t="n">
        <v>1.2</v>
      </c>
      <c r="X39" s="10" t="n">
        <v>0.12</v>
      </c>
      <c r="Y39" s="10" t="n">
        <v>1.344</v>
      </c>
      <c r="Z39" s="10" t="n">
        <v>593.0496</v>
      </c>
    </row>
    <row r="40" customFormat="false" ht="13.5" hidden="false" customHeight="true" outlineLevel="0" collapsed="false">
      <c r="C40" s="10" t="s">
        <v>35</v>
      </c>
      <c r="D40" s="10" t="s">
        <v>254</v>
      </c>
      <c r="E40" s="10" t="s">
        <v>4</v>
      </c>
      <c r="F40" s="10" t="s">
        <v>1033</v>
      </c>
      <c r="G40" s="10" t="s">
        <v>68</v>
      </c>
      <c r="H40" s="10" t="s">
        <v>166</v>
      </c>
      <c r="I40" s="10" t="s">
        <v>110</v>
      </c>
      <c r="J40" s="10" t="s">
        <v>1109</v>
      </c>
      <c r="P40" s="10" t="s">
        <v>47</v>
      </c>
      <c r="Q40" s="10" t="n">
        <v>38.42</v>
      </c>
      <c r="R40" s="10" t="n">
        <v>38.42</v>
      </c>
      <c r="T40" s="10" t="n">
        <v>10</v>
      </c>
      <c r="U40" s="10" t="n">
        <v>0.2</v>
      </c>
      <c r="V40" s="10" t="n">
        <v>12</v>
      </c>
      <c r="W40" s="10" t="n">
        <v>98</v>
      </c>
      <c r="X40" s="10" t="n">
        <v>0.12</v>
      </c>
      <c r="Y40" s="10" t="n">
        <v>109.76</v>
      </c>
      <c r="Z40" s="10" t="n">
        <v>4678.0192</v>
      </c>
    </row>
    <row r="41" customFormat="false" ht="13.5" hidden="false" customHeight="true" outlineLevel="0" collapsed="false">
      <c r="C41" s="10" t="s">
        <v>35</v>
      </c>
      <c r="D41" s="10" t="s">
        <v>254</v>
      </c>
      <c r="E41" s="10" t="s">
        <v>4</v>
      </c>
      <c r="F41" s="10" t="s">
        <v>1033</v>
      </c>
      <c r="G41" s="10" t="s">
        <v>68</v>
      </c>
      <c r="H41" s="10" t="s">
        <v>166</v>
      </c>
      <c r="I41" s="10" t="s">
        <v>153</v>
      </c>
      <c r="J41" s="10" t="s">
        <v>153</v>
      </c>
      <c r="P41" s="10" t="s">
        <v>45</v>
      </c>
      <c r="Q41" s="10" t="n">
        <v>359.03</v>
      </c>
      <c r="R41" s="10" t="n">
        <v>359.03</v>
      </c>
      <c r="T41" s="10" t="n">
        <v>6</v>
      </c>
      <c r="U41" s="10" t="n">
        <v>0.2</v>
      </c>
      <c r="V41" s="10" t="n">
        <v>7.2</v>
      </c>
      <c r="W41" s="10" t="n">
        <v>5</v>
      </c>
      <c r="X41" s="10" t="n">
        <v>0.12</v>
      </c>
      <c r="Y41" s="10" t="n">
        <v>5.6</v>
      </c>
      <c r="Z41" s="10" t="n">
        <v>4595.584</v>
      </c>
    </row>
    <row r="42" customFormat="false" ht="13.5" hidden="false" customHeight="true" outlineLevel="0" collapsed="false">
      <c r="C42" s="10" t="s">
        <v>35</v>
      </c>
      <c r="D42" s="10" t="s">
        <v>254</v>
      </c>
      <c r="E42" s="10" t="s">
        <v>4</v>
      </c>
      <c r="F42" s="10" t="s">
        <v>1033</v>
      </c>
      <c r="G42" s="10" t="s">
        <v>68</v>
      </c>
      <c r="H42" s="10" t="s">
        <v>166</v>
      </c>
      <c r="I42" s="10" t="s">
        <v>111</v>
      </c>
      <c r="J42" s="10" t="s">
        <v>1117</v>
      </c>
      <c r="P42" s="10" t="s">
        <v>49</v>
      </c>
      <c r="Q42" s="10" t="n">
        <v>487.008666666667</v>
      </c>
      <c r="R42" s="10" t="n">
        <v>487.008666666667</v>
      </c>
      <c r="T42" s="10" t="n">
        <v>0.12</v>
      </c>
      <c r="U42" s="10" t="n">
        <v>0.2</v>
      </c>
      <c r="V42" s="10" t="n">
        <v>0.144</v>
      </c>
      <c r="W42" s="10" t="n">
        <v>0.77</v>
      </c>
      <c r="X42" s="10" t="n">
        <v>0.12</v>
      </c>
      <c r="Y42" s="10" t="n">
        <v>0.8624</v>
      </c>
      <c r="Z42" s="10" t="n">
        <v>490.125522133334</v>
      </c>
    </row>
    <row r="43" customFormat="false" ht="13.5" hidden="false" customHeight="true" outlineLevel="0" collapsed="false">
      <c r="C43" s="10" t="s">
        <v>35</v>
      </c>
      <c r="D43" s="10" t="s">
        <v>254</v>
      </c>
      <c r="E43" s="10" t="s">
        <v>4</v>
      </c>
      <c r="F43" s="10" t="s">
        <v>1033</v>
      </c>
      <c r="G43" s="10" t="s">
        <v>68</v>
      </c>
      <c r="H43" s="10" t="s">
        <v>166</v>
      </c>
      <c r="I43" s="10" t="s">
        <v>111</v>
      </c>
      <c r="J43" s="10" t="s">
        <v>1100</v>
      </c>
      <c r="P43" s="10" t="s">
        <v>49</v>
      </c>
      <c r="Q43" s="10" t="n">
        <v>1072.33333333333</v>
      </c>
      <c r="R43" s="10" t="n">
        <v>1072.33333333333</v>
      </c>
      <c r="T43" s="10" t="n">
        <v>0.12</v>
      </c>
      <c r="U43" s="10" t="n">
        <v>0.2</v>
      </c>
      <c r="V43" s="10" t="n">
        <v>0.144</v>
      </c>
      <c r="W43" s="10" t="n">
        <v>0.78</v>
      </c>
      <c r="X43" s="10" t="n">
        <v>0.12</v>
      </c>
      <c r="Y43" s="10" t="n">
        <v>0.8736</v>
      </c>
      <c r="Z43" s="10" t="n">
        <v>1091.2064</v>
      </c>
    </row>
    <row r="44" customFormat="false" ht="13.5" hidden="false" customHeight="true" outlineLevel="0" collapsed="false">
      <c r="C44" s="10" t="s">
        <v>35</v>
      </c>
      <c r="D44" s="10" t="s">
        <v>254</v>
      </c>
      <c r="E44" s="10" t="s">
        <v>4</v>
      </c>
      <c r="F44" s="10" t="s">
        <v>1033</v>
      </c>
      <c r="G44" s="10" t="s">
        <v>68</v>
      </c>
      <c r="H44" s="10" t="s">
        <v>166</v>
      </c>
      <c r="I44" s="10" t="s">
        <v>111</v>
      </c>
      <c r="J44" s="10" t="s">
        <v>1101</v>
      </c>
      <c r="P44" s="10" t="s">
        <v>49</v>
      </c>
      <c r="Q44" s="10" t="n">
        <v>174.3144</v>
      </c>
      <c r="R44" s="10" t="n">
        <v>174.3144</v>
      </c>
      <c r="T44" s="10" t="n">
        <v>0.11</v>
      </c>
      <c r="U44" s="10" t="n">
        <v>0.2</v>
      </c>
      <c r="V44" s="10" t="n">
        <v>0.132</v>
      </c>
      <c r="W44" s="10" t="n">
        <v>0.76</v>
      </c>
      <c r="X44" s="10" t="n">
        <v>0.12</v>
      </c>
      <c r="Y44" s="10" t="n">
        <v>0.8512</v>
      </c>
      <c r="Z44" s="10" t="n">
        <v>171.38591808</v>
      </c>
    </row>
    <row r="45" customFormat="false" ht="13.5" hidden="false" customHeight="true" outlineLevel="0" collapsed="false">
      <c r="C45" s="10" t="s">
        <v>35</v>
      </c>
      <c r="D45" s="10" t="s">
        <v>254</v>
      </c>
      <c r="E45" s="10" t="s">
        <v>4</v>
      </c>
      <c r="F45" s="10" t="s">
        <v>1033</v>
      </c>
      <c r="G45" s="10" t="s">
        <v>68</v>
      </c>
      <c r="H45" s="10" t="s">
        <v>166</v>
      </c>
      <c r="I45" s="10" t="s">
        <v>111</v>
      </c>
      <c r="J45" s="10" t="s">
        <v>1103</v>
      </c>
      <c r="P45" s="10" t="s">
        <v>49</v>
      </c>
      <c r="Q45" s="10" t="n">
        <v>1016.8632</v>
      </c>
      <c r="R45" s="10" t="n">
        <v>1016.8632</v>
      </c>
      <c r="T45" s="10" t="n">
        <v>0.1</v>
      </c>
      <c r="U45" s="10" t="n">
        <v>0.2</v>
      </c>
      <c r="V45" s="10" t="n">
        <v>0.12</v>
      </c>
      <c r="W45" s="10" t="n">
        <v>0.74</v>
      </c>
      <c r="X45" s="10" t="n">
        <v>0.12</v>
      </c>
      <c r="Y45" s="10" t="n">
        <v>0.8288</v>
      </c>
      <c r="Z45" s="10" t="n">
        <v>964.79980416</v>
      </c>
    </row>
    <row r="46" customFormat="false" ht="13.5" hidden="false" customHeight="true" outlineLevel="0" collapsed="false">
      <c r="C46" s="10" t="s">
        <v>35</v>
      </c>
      <c r="D46" s="10" t="s">
        <v>254</v>
      </c>
      <c r="E46" s="10" t="s">
        <v>4</v>
      </c>
      <c r="F46" s="10" t="s">
        <v>1033</v>
      </c>
      <c r="G46" s="10" t="s">
        <v>68</v>
      </c>
      <c r="H46" s="10" t="s">
        <v>166</v>
      </c>
      <c r="I46" s="10" t="s">
        <v>111</v>
      </c>
      <c r="J46" s="10" t="s">
        <v>1104</v>
      </c>
      <c r="P46" s="10" t="s">
        <v>49</v>
      </c>
      <c r="Q46" s="10" t="n">
        <v>5312.997</v>
      </c>
      <c r="R46" s="10" t="n">
        <v>5312.997</v>
      </c>
      <c r="T46" s="10" t="n">
        <v>0.09</v>
      </c>
      <c r="U46" s="10" t="n">
        <v>0.2</v>
      </c>
      <c r="V46" s="10" t="n">
        <v>0.108</v>
      </c>
      <c r="W46" s="10" t="n">
        <v>0.73</v>
      </c>
      <c r="X46" s="10" t="n">
        <v>0.12</v>
      </c>
      <c r="Y46" s="10" t="n">
        <v>0.8176</v>
      </c>
      <c r="Z46" s="10" t="n">
        <v>4917.7100232</v>
      </c>
    </row>
    <row r="47" customFormat="false" ht="13.5" hidden="false" customHeight="true" outlineLevel="0" collapsed="false">
      <c r="C47" s="10" t="s">
        <v>35</v>
      </c>
      <c r="D47" s="10" t="s">
        <v>254</v>
      </c>
      <c r="E47" s="10" t="s">
        <v>4</v>
      </c>
      <c r="F47" s="10" t="s">
        <v>1033</v>
      </c>
      <c r="G47" s="10" t="s">
        <v>68</v>
      </c>
      <c r="H47" s="10" t="s">
        <v>166</v>
      </c>
      <c r="I47" s="10" t="s">
        <v>1211</v>
      </c>
      <c r="J47" s="10" t="s">
        <v>1123</v>
      </c>
      <c r="P47" s="10" t="s">
        <v>49</v>
      </c>
      <c r="Q47" s="10" t="n">
        <v>322.540664</v>
      </c>
      <c r="R47" s="10" t="n">
        <v>322.540664</v>
      </c>
      <c r="T47" s="10" t="n">
        <v>0.05</v>
      </c>
      <c r="U47" s="10" t="n">
        <v>0.2</v>
      </c>
      <c r="V47" s="10" t="n">
        <v>0.06</v>
      </c>
      <c r="W47" s="10" t="n">
        <v>1.2</v>
      </c>
      <c r="X47" s="10" t="n">
        <v>0.12</v>
      </c>
      <c r="Y47" s="10" t="n">
        <v>1.344</v>
      </c>
      <c r="Z47" s="10" t="n">
        <v>452.847092256</v>
      </c>
    </row>
    <row r="48" customFormat="false" ht="13.5" hidden="false" customHeight="true" outlineLevel="0" collapsed="false">
      <c r="C48" s="10" t="s">
        <v>35</v>
      </c>
      <c r="D48" s="10" t="s">
        <v>254</v>
      </c>
      <c r="E48" s="10" t="s">
        <v>4</v>
      </c>
      <c r="F48" s="10" t="s">
        <v>1033</v>
      </c>
      <c r="G48" s="10" t="s">
        <v>68</v>
      </c>
      <c r="H48" s="10" t="s">
        <v>166</v>
      </c>
      <c r="I48" s="10" t="s">
        <v>151</v>
      </c>
      <c r="J48" s="10" t="s">
        <v>1107</v>
      </c>
      <c r="P48" s="10" t="s">
        <v>47</v>
      </c>
      <c r="Q48" s="10" t="n">
        <v>7.3</v>
      </c>
      <c r="R48" s="10" t="n">
        <v>7.3</v>
      </c>
      <c r="T48" s="10" t="n">
        <v>7</v>
      </c>
      <c r="U48" s="10" t="n">
        <v>0.2</v>
      </c>
      <c r="V48" s="10" t="n">
        <v>8.4</v>
      </c>
      <c r="W48" s="10" t="n">
        <v>75</v>
      </c>
      <c r="X48" s="10" t="n">
        <v>0.12</v>
      </c>
      <c r="Y48" s="10" t="n">
        <v>84</v>
      </c>
      <c r="Z48" s="10" t="n">
        <v>674.52</v>
      </c>
    </row>
    <row r="49" customFormat="false" ht="13.5" hidden="false" customHeight="true" outlineLevel="0" collapsed="false">
      <c r="C49" s="10" t="s">
        <v>35</v>
      </c>
      <c r="D49" s="10" t="s">
        <v>254</v>
      </c>
      <c r="E49" s="10" t="s">
        <v>4</v>
      </c>
      <c r="F49" s="10" t="s">
        <v>1033</v>
      </c>
      <c r="G49" s="10" t="s">
        <v>68</v>
      </c>
      <c r="H49" s="10" t="s">
        <v>166</v>
      </c>
      <c r="I49" s="10" t="s">
        <v>149</v>
      </c>
      <c r="J49" s="10" t="s">
        <v>1099</v>
      </c>
      <c r="P49" s="10" t="s">
        <v>47</v>
      </c>
      <c r="Q49" s="10" t="n">
        <v>14.56</v>
      </c>
      <c r="R49" s="10" t="n">
        <v>14.56</v>
      </c>
      <c r="T49" s="10" t="n">
        <v>3</v>
      </c>
      <c r="U49" s="10" t="n">
        <v>0.2</v>
      </c>
      <c r="V49" s="10" t="n">
        <v>3.6</v>
      </c>
      <c r="W49" s="10" t="n">
        <v>18</v>
      </c>
      <c r="X49" s="10" t="n">
        <v>0.12</v>
      </c>
      <c r="Y49" s="10" t="n">
        <v>20.16</v>
      </c>
      <c r="Z49" s="10" t="n">
        <v>345.9456</v>
      </c>
    </row>
    <row r="50" customFormat="false" ht="13.5" hidden="false" customHeight="true" outlineLevel="0" collapsed="false">
      <c r="C50" s="10" t="s">
        <v>35</v>
      </c>
      <c r="D50" s="10" t="s">
        <v>254</v>
      </c>
      <c r="E50" s="10" t="s">
        <v>4</v>
      </c>
      <c r="F50" s="10" t="s">
        <v>1033</v>
      </c>
      <c r="G50" s="10" t="s">
        <v>68</v>
      </c>
      <c r="H50" s="10" t="s">
        <v>166</v>
      </c>
      <c r="I50" s="10" t="s">
        <v>44</v>
      </c>
      <c r="J50" s="10" t="s">
        <v>1098</v>
      </c>
      <c r="P50" s="10" t="s">
        <v>45</v>
      </c>
      <c r="Q50" s="10" t="n">
        <v>145.57</v>
      </c>
      <c r="R50" s="10" t="n">
        <v>145.57</v>
      </c>
      <c r="T50" s="10" t="n">
        <v>1</v>
      </c>
      <c r="U50" s="10" t="n">
        <v>0.2</v>
      </c>
      <c r="V50" s="10" t="n">
        <v>1.2</v>
      </c>
      <c r="W50" s="10" t="n">
        <v>2.5</v>
      </c>
      <c r="X50" s="10" t="n">
        <v>0.12</v>
      </c>
      <c r="Y50" s="10" t="n">
        <v>2.8</v>
      </c>
      <c r="Z50" s="10" t="n">
        <v>582.28</v>
      </c>
    </row>
    <row r="51" customFormat="false" ht="13.5" hidden="false" customHeight="true" outlineLevel="0" collapsed="false">
      <c r="C51" s="10" t="s">
        <v>35</v>
      </c>
      <c r="D51" s="10" t="s">
        <v>254</v>
      </c>
      <c r="E51" s="10" t="s">
        <v>4</v>
      </c>
      <c r="F51" s="10" t="s">
        <v>1033</v>
      </c>
      <c r="G51" s="10" t="s">
        <v>68</v>
      </c>
      <c r="H51" s="10" t="s">
        <v>170</v>
      </c>
      <c r="I51" s="10" t="s">
        <v>110</v>
      </c>
      <c r="J51" s="10" t="s">
        <v>1109</v>
      </c>
      <c r="P51" s="10" t="s">
        <v>47</v>
      </c>
      <c r="Q51" s="10" t="n">
        <v>103.737</v>
      </c>
      <c r="R51" s="10" t="n">
        <v>103.737</v>
      </c>
      <c r="T51" s="10" t="n">
        <v>10</v>
      </c>
      <c r="U51" s="10" t="n">
        <v>0.2</v>
      </c>
      <c r="V51" s="10" t="n">
        <v>12</v>
      </c>
      <c r="W51" s="10" t="n">
        <v>98</v>
      </c>
      <c r="X51" s="10" t="n">
        <v>0.12</v>
      </c>
      <c r="Y51" s="10" t="n">
        <v>109.76</v>
      </c>
      <c r="Z51" s="10" t="n">
        <v>12631.01712</v>
      </c>
    </row>
    <row r="52" customFormat="false" ht="13.5" hidden="false" customHeight="true" outlineLevel="0" collapsed="false">
      <c r="C52" s="10" t="s">
        <v>35</v>
      </c>
      <c r="D52" s="10" t="s">
        <v>254</v>
      </c>
      <c r="E52" s="10" t="s">
        <v>4</v>
      </c>
      <c r="F52" s="10" t="s">
        <v>1033</v>
      </c>
      <c r="G52" s="10" t="s">
        <v>68</v>
      </c>
      <c r="H52" s="10" t="s">
        <v>170</v>
      </c>
      <c r="I52" s="10" t="s">
        <v>153</v>
      </c>
      <c r="J52" s="10" t="s">
        <v>153</v>
      </c>
      <c r="P52" s="10" t="s">
        <v>45</v>
      </c>
      <c r="Q52" s="10" t="n">
        <v>19.2</v>
      </c>
      <c r="R52" s="10" t="n">
        <v>19.2</v>
      </c>
      <c r="T52" s="10" t="n">
        <v>6</v>
      </c>
      <c r="U52" s="10" t="n">
        <v>0.2</v>
      </c>
      <c r="V52" s="10" t="n">
        <v>7.2</v>
      </c>
      <c r="W52" s="10" t="n">
        <v>5</v>
      </c>
      <c r="X52" s="10" t="n">
        <v>0.12</v>
      </c>
      <c r="Y52" s="10" t="n">
        <v>5.6</v>
      </c>
      <c r="Z52" s="10" t="n">
        <v>245.76</v>
      </c>
    </row>
    <row r="53" customFormat="false" ht="13.5" hidden="false" customHeight="true" outlineLevel="0" collapsed="false">
      <c r="C53" s="10" t="s">
        <v>35</v>
      </c>
      <c r="D53" s="10" t="s">
        <v>254</v>
      </c>
      <c r="E53" s="10" t="s">
        <v>4</v>
      </c>
      <c r="F53" s="10" t="s">
        <v>1033</v>
      </c>
      <c r="G53" s="10" t="s">
        <v>68</v>
      </c>
      <c r="H53" s="10" t="s">
        <v>170</v>
      </c>
      <c r="I53" s="10" t="s">
        <v>111</v>
      </c>
      <c r="J53" s="10" t="s">
        <v>1100</v>
      </c>
      <c r="P53" s="10" t="s">
        <v>49</v>
      </c>
      <c r="Q53" s="10" t="n">
        <v>12843.4262</v>
      </c>
      <c r="R53" s="10" t="n">
        <v>12843.4262</v>
      </c>
      <c r="T53" s="10" t="n">
        <v>0.12</v>
      </c>
      <c r="U53" s="10" t="n">
        <v>0.2</v>
      </c>
      <c r="V53" s="10" t="n">
        <v>0.144</v>
      </c>
      <c r="W53" s="10" t="n">
        <v>0.78</v>
      </c>
      <c r="X53" s="10" t="n">
        <v>0.12</v>
      </c>
      <c r="Y53" s="10" t="n">
        <v>0.8736</v>
      </c>
      <c r="Z53" s="10" t="n">
        <v>13069.47050112</v>
      </c>
    </row>
    <row r="54" customFormat="false" ht="13.5" hidden="false" customHeight="true" outlineLevel="0" collapsed="false">
      <c r="C54" s="10" t="s">
        <v>35</v>
      </c>
      <c r="D54" s="10" t="s">
        <v>254</v>
      </c>
      <c r="E54" s="10" t="s">
        <v>4</v>
      </c>
      <c r="F54" s="10" t="s">
        <v>1033</v>
      </c>
      <c r="G54" s="10" t="s">
        <v>68</v>
      </c>
      <c r="H54" s="10" t="s">
        <v>170</v>
      </c>
      <c r="I54" s="10" t="s">
        <v>111</v>
      </c>
      <c r="J54" s="10" t="s">
        <v>1101</v>
      </c>
      <c r="P54" s="10" t="s">
        <v>49</v>
      </c>
      <c r="Q54" s="10" t="n">
        <v>372.96</v>
      </c>
      <c r="R54" s="10" t="n">
        <v>372.96</v>
      </c>
      <c r="T54" s="10" t="n">
        <v>0.11</v>
      </c>
      <c r="U54" s="10" t="n">
        <v>0.2</v>
      </c>
      <c r="V54" s="10" t="n">
        <v>0.132</v>
      </c>
      <c r="W54" s="10" t="n">
        <v>0.76</v>
      </c>
      <c r="X54" s="10" t="n">
        <v>0.12</v>
      </c>
      <c r="Y54" s="10" t="n">
        <v>0.8512</v>
      </c>
      <c r="Z54" s="10" t="n">
        <v>366.694272</v>
      </c>
    </row>
    <row r="55" customFormat="false" ht="13.5" hidden="false" customHeight="true" outlineLevel="0" collapsed="false">
      <c r="C55" s="10" t="s">
        <v>35</v>
      </c>
      <c r="D55" s="10" t="s">
        <v>254</v>
      </c>
      <c r="E55" s="10" t="s">
        <v>4</v>
      </c>
      <c r="F55" s="10" t="s">
        <v>1033</v>
      </c>
      <c r="G55" s="10" t="s">
        <v>68</v>
      </c>
      <c r="H55" s="10" t="s">
        <v>170</v>
      </c>
      <c r="I55" s="10" t="s">
        <v>1211</v>
      </c>
      <c r="J55" s="10" t="s">
        <v>1123</v>
      </c>
      <c r="P55" s="10" t="s">
        <v>49</v>
      </c>
      <c r="Q55" s="10" t="n">
        <v>528.655448</v>
      </c>
      <c r="R55" s="10" t="n">
        <v>528.655448</v>
      </c>
      <c r="T55" s="10" t="n">
        <v>0.05</v>
      </c>
      <c r="U55" s="10" t="n">
        <v>0.2</v>
      </c>
      <c r="V55" s="10" t="n">
        <v>0.06</v>
      </c>
      <c r="W55" s="10" t="n">
        <v>1.2</v>
      </c>
      <c r="X55" s="10" t="n">
        <v>0.12</v>
      </c>
      <c r="Y55" s="10" t="n">
        <v>1.344</v>
      </c>
      <c r="Z55" s="10" t="n">
        <v>742.232248992</v>
      </c>
    </row>
    <row r="56" customFormat="false" ht="13.5" hidden="false" customHeight="true" outlineLevel="0" collapsed="false">
      <c r="C56" s="10" t="s">
        <v>35</v>
      </c>
      <c r="D56" s="10" t="s">
        <v>254</v>
      </c>
      <c r="E56" s="10" t="s">
        <v>4</v>
      </c>
      <c r="F56" s="10" t="s">
        <v>1033</v>
      </c>
      <c r="G56" s="10" t="s">
        <v>68</v>
      </c>
      <c r="H56" s="10" t="s">
        <v>170</v>
      </c>
      <c r="I56" s="10" t="s">
        <v>151</v>
      </c>
      <c r="J56" s="10" t="s">
        <v>1107</v>
      </c>
      <c r="P56" s="10" t="s">
        <v>47</v>
      </c>
      <c r="Q56" s="10" t="n">
        <v>27.6</v>
      </c>
      <c r="R56" s="10" t="n">
        <v>27.6</v>
      </c>
      <c r="T56" s="10" t="n">
        <v>7</v>
      </c>
      <c r="U56" s="10" t="n">
        <v>0.2</v>
      </c>
      <c r="V56" s="10" t="n">
        <v>8.4</v>
      </c>
      <c r="W56" s="10" t="n">
        <v>75</v>
      </c>
      <c r="X56" s="10" t="n">
        <v>0.12</v>
      </c>
      <c r="Y56" s="10" t="n">
        <v>84</v>
      </c>
      <c r="Z56" s="10" t="n">
        <v>2550.24</v>
      </c>
    </row>
    <row r="57" customFormat="false" ht="13.5" hidden="false" customHeight="true" outlineLevel="0" collapsed="false">
      <c r="C57" s="10" t="s">
        <v>35</v>
      </c>
      <c r="D57" s="10" t="s">
        <v>254</v>
      </c>
      <c r="E57" s="10" t="s">
        <v>4</v>
      </c>
      <c r="F57" s="10" t="s">
        <v>1033</v>
      </c>
      <c r="G57" s="10" t="s">
        <v>68</v>
      </c>
      <c r="H57" s="10" t="s">
        <v>170</v>
      </c>
      <c r="I57" s="10" t="s">
        <v>149</v>
      </c>
      <c r="J57" s="10" t="s">
        <v>1099</v>
      </c>
      <c r="P57" s="10" t="s">
        <v>47</v>
      </c>
      <c r="Q57" s="10" t="n">
        <v>55.2</v>
      </c>
      <c r="R57" s="10" t="n">
        <v>55.2</v>
      </c>
      <c r="T57" s="10" t="n">
        <v>3</v>
      </c>
      <c r="U57" s="10" t="n">
        <v>0.2</v>
      </c>
      <c r="V57" s="10" t="n">
        <v>3.6</v>
      </c>
      <c r="W57" s="10" t="n">
        <v>18</v>
      </c>
      <c r="X57" s="10" t="n">
        <v>0.12</v>
      </c>
      <c r="Y57" s="10" t="n">
        <v>20.16</v>
      </c>
      <c r="Z57" s="10" t="n">
        <v>1311.552</v>
      </c>
    </row>
    <row r="58" customFormat="false" ht="13.5" hidden="false" customHeight="true" outlineLevel="0" collapsed="false">
      <c r="C58" s="10" t="s">
        <v>35</v>
      </c>
      <c r="D58" s="10" t="s">
        <v>254</v>
      </c>
      <c r="E58" s="10" t="s">
        <v>4</v>
      </c>
      <c r="F58" s="10" t="s">
        <v>1033</v>
      </c>
      <c r="G58" s="10" t="s">
        <v>68</v>
      </c>
      <c r="H58" s="10" t="s">
        <v>170</v>
      </c>
      <c r="I58" s="10" t="s">
        <v>44</v>
      </c>
      <c r="J58" s="10" t="s">
        <v>1098</v>
      </c>
      <c r="P58" s="10" t="s">
        <v>45</v>
      </c>
      <c r="Q58" s="10" t="n">
        <v>552</v>
      </c>
      <c r="R58" s="10" t="n">
        <v>552</v>
      </c>
      <c r="T58" s="10" t="n">
        <v>1</v>
      </c>
      <c r="U58" s="10" t="n">
        <v>0.2</v>
      </c>
      <c r="V58" s="10" t="n">
        <v>1.2</v>
      </c>
      <c r="W58" s="10" t="n">
        <v>2.5</v>
      </c>
      <c r="X58" s="10" t="n">
        <v>0.12</v>
      </c>
      <c r="Y58" s="10" t="n">
        <v>2.8</v>
      </c>
      <c r="Z58" s="10" t="n">
        <v>2208</v>
      </c>
    </row>
    <row r="59" customFormat="false" ht="13.5" hidden="false" customHeight="true" outlineLevel="0" collapsed="false">
      <c r="C59" s="10" t="s">
        <v>35</v>
      </c>
      <c r="D59" s="10" t="s">
        <v>254</v>
      </c>
      <c r="E59" s="10" t="s">
        <v>4</v>
      </c>
      <c r="F59" s="10" t="s">
        <v>1033</v>
      </c>
      <c r="G59" s="10" t="s">
        <v>68</v>
      </c>
      <c r="H59" s="10" t="s">
        <v>175</v>
      </c>
      <c r="I59" s="10" t="s">
        <v>110</v>
      </c>
      <c r="J59" s="10" t="s">
        <v>1109</v>
      </c>
      <c r="P59" s="10" t="s">
        <v>47</v>
      </c>
      <c r="Q59" s="10" t="n">
        <v>45.864</v>
      </c>
      <c r="R59" s="10" t="n">
        <v>45.864</v>
      </c>
      <c r="T59" s="10" t="n">
        <v>10</v>
      </c>
      <c r="U59" s="10" t="n">
        <v>0.2</v>
      </c>
      <c r="V59" s="10" t="n">
        <v>12</v>
      </c>
      <c r="W59" s="10" t="n">
        <v>98</v>
      </c>
      <c r="X59" s="10" t="n">
        <v>0.12</v>
      </c>
      <c r="Y59" s="10" t="n">
        <v>109.76</v>
      </c>
      <c r="Z59" s="10" t="n">
        <v>5584.40064</v>
      </c>
    </row>
    <row r="60" customFormat="false" ht="13.5" hidden="false" customHeight="true" outlineLevel="0" collapsed="false">
      <c r="C60" s="10" t="s">
        <v>35</v>
      </c>
      <c r="D60" s="10" t="s">
        <v>254</v>
      </c>
      <c r="E60" s="10" t="s">
        <v>4</v>
      </c>
      <c r="F60" s="10" t="s">
        <v>1033</v>
      </c>
      <c r="G60" s="10" t="s">
        <v>68</v>
      </c>
      <c r="H60" s="10" t="s">
        <v>175</v>
      </c>
      <c r="I60" s="10" t="s">
        <v>153</v>
      </c>
      <c r="J60" s="10" t="s">
        <v>153</v>
      </c>
      <c r="P60" s="10" t="s">
        <v>45</v>
      </c>
      <c r="Q60" s="10" t="n">
        <v>221.76</v>
      </c>
      <c r="R60" s="10" t="n">
        <v>221.76</v>
      </c>
      <c r="T60" s="10" t="n">
        <v>6</v>
      </c>
      <c r="U60" s="10" t="n">
        <v>0.2</v>
      </c>
      <c r="V60" s="10" t="n">
        <v>7.2</v>
      </c>
      <c r="W60" s="10" t="n">
        <v>5</v>
      </c>
      <c r="X60" s="10" t="n">
        <v>0.12</v>
      </c>
      <c r="Y60" s="10" t="n">
        <v>5.6</v>
      </c>
      <c r="Z60" s="10" t="n">
        <v>2838.528</v>
      </c>
    </row>
    <row r="61" customFormat="false" ht="13.5" hidden="false" customHeight="true" outlineLevel="0" collapsed="false">
      <c r="C61" s="10" t="s">
        <v>35</v>
      </c>
      <c r="D61" s="10" t="s">
        <v>254</v>
      </c>
      <c r="E61" s="10" t="s">
        <v>4</v>
      </c>
      <c r="F61" s="10" t="s">
        <v>1033</v>
      </c>
      <c r="G61" s="10" t="s">
        <v>68</v>
      </c>
      <c r="H61" s="10" t="s">
        <v>175</v>
      </c>
      <c r="I61" s="10" t="s">
        <v>111</v>
      </c>
      <c r="J61" s="10" t="s">
        <v>1101</v>
      </c>
      <c r="P61" s="10" t="s">
        <v>49</v>
      </c>
      <c r="Q61" s="10" t="n">
        <v>3061.25568</v>
      </c>
      <c r="R61" s="10" t="n">
        <v>3061.25568</v>
      </c>
      <c r="T61" s="10" t="n">
        <v>0.11</v>
      </c>
      <c r="U61" s="10" t="n">
        <v>0.2</v>
      </c>
      <c r="V61" s="10" t="n">
        <v>0.132</v>
      </c>
      <c r="W61" s="10" t="n">
        <v>0.76</v>
      </c>
      <c r="X61" s="10" t="n">
        <v>0.12</v>
      </c>
      <c r="Y61" s="10" t="n">
        <v>0.8512</v>
      </c>
      <c r="Z61" s="10" t="n">
        <v>3009.826584576</v>
      </c>
    </row>
    <row r="62" customFormat="false" ht="13.5" hidden="false" customHeight="true" outlineLevel="0" collapsed="false">
      <c r="C62" s="10" t="s">
        <v>35</v>
      </c>
      <c r="D62" s="10" t="s">
        <v>254</v>
      </c>
      <c r="E62" s="10" t="s">
        <v>4</v>
      </c>
      <c r="F62" s="10" t="s">
        <v>1033</v>
      </c>
      <c r="G62" s="10" t="s">
        <v>68</v>
      </c>
      <c r="H62" s="10" t="s">
        <v>175</v>
      </c>
      <c r="I62" s="10" t="s">
        <v>111</v>
      </c>
      <c r="J62" s="10" t="s">
        <v>1105</v>
      </c>
      <c r="P62" s="10" t="s">
        <v>49</v>
      </c>
      <c r="Q62" s="10" t="n">
        <v>1921.92</v>
      </c>
      <c r="R62" s="10" t="n">
        <v>1921.92</v>
      </c>
      <c r="T62" s="10" t="n">
        <v>0.08</v>
      </c>
      <c r="U62" s="10" t="n">
        <v>0.2</v>
      </c>
      <c r="V62" s="10" t="n">
        <v>0.096</v>
      </c>
      <c r="W62" s="10" t="n">
        <v>0.72</v>
      </c>
      <c r="X62" s="10" t="n">
        <v>0.12</v>
      </c>
      <c r="Y62" s="10" t="n">
        <v>0.8064</v>
      </c>
      <c r="Z62" s="10" t="n">
        <v>1734.340608</v>
      </c>
    </row>
    <row r="63" customFormat="false" ht="13.5" hidden="false" customHeight="true" outlineLevel="0" collapsed="false">
      <c r="C63" s="10" t="s">
        <v>35</v>
      </c>
      <c r="D63" s="10" t="s">
        <v>254</v>
      </c>
      <c r="E63" s="10" t="s">
        <v>4</v>
      </c>
      <c r="F63" s="10" t="s">
        <v>1033</v>
      </c>
      <c r="G63" s="10" t="s">
        <v>68</v>
      </c>
      <c r="H63" s="10" t="s">
        <v>175</v>
      </c>
      <c r="I63" s="10" t="s">
        <v>111</v>
      </c>
      <c r="J63" s="10" t="s">
        <v>1106</v>
      </c>
      <c r="P63" s="10" t="s">
        <v>49</v>
      </c>
      <c r="Q63" s="10" t="n">
        <v>10516.48</v>
      </c>
      <c r="R63" s="10" t="n">
        <v>10516.48</v>
      </c>
      <c r="T63" s="10" t="n">
        <v>0.08</v>
      </c>
      <c r="U63" s="10" t="n">
        <v>0.2</v>
      </c>
      <c r="V63" s="10" t="n">
        <v>0.096</v>
      </c>
      <c r="W63" s="10" t="n">
        <v>0.71</v>
      </c>
      <c r="X63" s="10" t="n">
        <v>0.12</v>
      </c>
      <c r="Y63" s="10" t="n">
        <v>0.7952</v>
      </c>
      <c r="Z63" s="10" t="n">
        <v>9372.286976</v>
      </c>
    </row>
    <row r="64" customFormat="false" ht="13.5" hidden="false" customHeight="true" outlineLevel="0" collapsed="false">
      <c r="C64" s="10" t="s">
        <v>35</v>
      </c>
      <c r="D64" s="10" t="s">
        <v>254</v>
      </c>
      <c r="E64" s="10" t="s">
        <v>4</v>
      </c>
      <c r="F64" s="10" t="s">
        <v>1033</v>
      </c>
      <c r="G64" s="10" t="s">
        <v>68</v>
      </c>
      <c r="H64" s="10" t="s">
        <v>175</v>
      </c>
      <c r="I64" s="10" t="s">
        <v>1211</v>
      </c>
      <c r="J64" s="10" t="s">
        <v>1123</v>
      </c>
      <c r="P64" s="10" t="s">
        <v>49</v>
      </c>
      <c r="Q64" s="10" t="n">
        <v>619.9862272</v>
      </c>
      <c r="R64" s="10" t="n">
        <v>619.9862272</v>
      </c>
      <c r="T64" s="10" t="n">
        <v>0.05</v>
      </c>
      <c r="U64" s="10" t="n">
        <v>0.2</v>
      </c>
      <c r="V64" s="10" t="n">
        <v>0.06</v>
      </c>
      <c r="W64" s="10" t="n">
        <v>1.2</v>
      </c>
      <c r="X64" s="10" t="n">
        <v>0.12</v>
      </c>
      <c r="Y64" s="10" t="n">
        <v>1.344</v>
      </c>
      <c r="Z64" s="10" t="n">
        <v>870.4606629888</v>
      </c>
    </row>
    <row r="65" customFormat="false" ht="13.5" hidden="false" customHeight="true" outlineLevel="0" collapsed="false">
      <c r="C65" s="10" t="s">
        <v>35</v>
      </c>
      <c r="D65" s="10" t="s">
        <v>254</v>
      </c>
      <c r="E65" s="10" t="s">
        <v>4</v>
      </c>
      <c r="F65" s="10" t="s">
        <v>1033</v>
      </c>
      <c r="G65" s="10" t="s">
        <v>68</v>
      </c>
      <c r="H65" s="10" t="s">
        <v>1218</v>
      </c>
      <c r="I65" s="10" t="s">
        <v>110</v>
      </c>
      <c r="J65" s="10" t="s">
        <v>1109</v>
      </c>
      <c r="P65" s="10" t="s">
        <v>47</v>
      </c>
      <c r="Q65" s="10" t="n">
        <v>23.43</v>
      </c>
      <c r="R65" s="10" t="n">
        <v>23.43</v>
      </c>
      <c r="T65" s="10" t="n">
        <v>10</v>
      </c>
      <c r="U65" s="10" t="n">
        <v>0.2</v>
      </c>
      <c r="V65" s="10" t="n">
        <v>12</v>
      </c>
      <c r="W65" s="10" t="n">
        <v>98</v>
      </c>
      <c r="X65" s="10" t="n">
        <v>0.12</v>
      </c>
      <c r="Y65" s="10" t="n">
        <v>109.76</v>
      </c>
      <c r="Z65" s="10" t="n">
        <v>2852.8368</v>
      </c>
    </row>
    <row r="66" customFormat="false" ht="13.5" hidden="false" customHeight="true" outlineLevel="0" collapsed="false">
      <c r="C66" s="10" t="s">
        <v>35</v>
      </c>
      <c r="D66" s="10" t="s">
        <v>254</v>
      </c>
      <c r="E66" s="10" t="s">
        <v>4</v>
      </c>
      <c r="F66" s="10" t="s">
        <v>1033</v>
      </c>
      <c r="G66" s="10" t="s">
        <v>68</v>
      </c>
      <c r="H66" s="10" t="s">
        <v>1218</v>
      </c>
      <c r="I66" s="10" t="s">
        <v>153</v>
      </c>
      <c r="J66" s="10" t="s">
        <v>153</v>
      </c>
      <c r="P66" s="10" t="s">
        <v>45</v>
      </c>
      <c r="Q66" s="10" t="n">
        <v>139.7</v>
      </c>
      <c r="R66" s="10" t="n">
        <v>139.7</v>
      </c>
      <c r="T66" s="10" t="n">
        <v>6</v>
      </c>
      <c r="U66" s="10" t="n">
        <v>0.2</v>
      </c>
      <c r="V66" s="10" t="n">
        <v>7.2</v>
      </c>
      <c r="W66" s="10" t="n">
        <v>5</v>
      </c>
      <c r="X66" s="10" t="n">
        <v>0.12</v>
      </c>
      <c r="Y66" s="10" t="n">
        <v>5.6</v>
      </c>
      <c r="Z66" s="10" t="n">
        <v>1788.16</v>
      </c>
    </row>
    <row r="67" customFormat="false" ht="13.5" hidden="false" customHeight="true" outlineLevel="0" collapsed="false">
      <c r="C67" s="10" t="s">
        <v>35</v>
      </c>
      <c r="D67" s="10" t="s">
        <v>254</v>
      </c>
      <c r="E67" s="10" t="s">
        <v>4</v>
      </c>
      <c r="F67" s="10" t="s">
        <v>1033</v>
      </c>
      <c r="G67" s="10" t="s">
        <v>68</v>
      </c>
      <c r="H67" s="10" t="s">
        <v>1218</v>
      </c>
      <c r="I67" s="10" t="s">
        <v>111</v>
      </c>
      <c r="J67" s="10" t="s">
        <v>1100</v>
      </c>
      <c r="P67" s="10" t="s">
        <v>49</v>
      </c>
      <c r="Q67" s="10" t="n">
        <v>241.864</v>
      </c>
      <c r="R67" s="10" t="n">
        <v>241.864</v>
      </c>
      <c r="T67" s="10" t="n">
        <v>0.12</v>
      </c>
      <c r="U67" s="10" t="n">
        <v>0.2</v>
      </c>
      <c r="V67" s="10" t="n">
        <v>0.144</v>
      </c>
      <c r="W67" s="10" t="n">
        <v>0.78</v>
      </c>
      <c r="X67" s="10" t="n">
        <v>0.12</v>
      </c>
      <c r="Y67" s="10" t="n">
        <v>0.8736</v>
      </c>
      <c r="Z67" s="10" t="n">
        <v>246.1208064</v>
      </c>
    </row>
    <row r="68" customFormat="false" ht="13.5" hidden="false" customHeight="true" outlineLevel="0" collapsed="false">
      <c r="C68" s="10" t="s">
        <v>35</v>
      </c>
      <c r="D68" s="10" t="s">
        <v>254</v>
      </c>
      <c r="E68" s="10" t="s">
        <v>4</v>
      </c>
      <c r="F68" s="10" t="s">
        <v>1033</v>
      </c>
      <c r="G68" s="10" t="s">
        <v>68</v>
      </c>
      <c r="H68" s="10" t="s">
        <v>1218</v>
      </c>
      <c r="I68" s="10" t="s">
        <v>111</v>
      </c>
      <c r="J68" s="10" t="s">
        <v>1101</v>
      </c>
      <c r="P68" s="10" t="s">
        <v>49</v>
      </c>
      <c r="Q68" s="10" t="n">
        <v>1071.6384</v>
      </c>
      <c r="R68" s="10" t="n">
        <v>1071.6384</v>
      </c>
      <c r="T68" s="10" t="n">
        <v>0.11</v>
      </c>
      <c r="U68" s="10" t="n">
        <v>0.2</v>
      </c>
      <c r="V68" s="10" t="n">
        <v>0.132</v>
      </c>
      <c r="W68" s="10" t="n">
        <v>0.76</v>
      </c>
      <c r="X68" s="10" t="n">
        <v>0.12</v>
      </c>
      <c r="Y68" s="10" t="n">
        <v>0.8512</v>
      </c>
      <c r="Z68" s="10" t="n">
        <v>1053.63487488</v>
      </c>
    </row>
    <row r="69" customFormat="false" ht="13.5" hidden="false" customHeight="true" outlineLevel="0" collapsed="false">
      <c r="C69" s="10" t="s">
        <v>35</v>
      </c>
      <c r="D69" s="10" t="s">
        <v>254</v>
      </c>
      <c r="E69" s="10" t="s">
        <v>4</v>
      </c>
      <c r="F69" s="10" t="s">
        <v>1033</v>
      </c>
      <c r="G69" s="10" t="s">
        <v>68</v>
      </c>
      <c r="H69" s="10" t="s">
        <v>1218</v>
      </c>
      <c r="I69" s="10" t="s">
        <v>111</v>
      </c>
      <c r="J69" s="10" t="s">
        <v>1103</v>
      </c>
      <c r="P69" s="10" t="s">
        <v>49</v>
      </c>
      <c r="Q69" s="10" t="n">
        <v>1659.632</v>
      </c>
      <c r="R69" s="10" t="n">
        <v>1659.632</v>
      </c>
      <c r="T69" s="10" t="n">
        <v>0.1</v>
      </c>
      <c r="U69" s="10" t="n">
        <v>0.2</v>
      </c>
      <c r="V69" s="10" t="n">
        <v>0.12</v>
      </c>
      <c r="W69" s="10" t="n">
        <v>0.74</v>
      </c>
      <c r="X69" s="10" t="n">
        <v>0.12</v>
      </c>
      <c r="Y69" s="10" t="n">
        <v>0.8288</v>
      </c>
      <c r="Z69" s="10" t="n">
        <v>1574.6588416</v>
      </c>
    </row>
    <row r="70" customFormat="false" ht="13.5" hidden="false" customHeight="true" outlineLevel="0" collapsed="false">
      <c r="C70" s="10" t="s">
        <v>35</v>
      </c>
      <c r="D70" s="10" t="s">
        <v>254</v>
      </c>
      <c r="E70" s="10" t="s">
        <v>4</v>
      </c>
      <c r="F70" s="10" t="s">
        <v>1033</v>
      </c>
      <c r="G70" s="10" t="s">
        <v>68</v>
      </c>
      <c r="H70" s="10" t="s">
        <v>1218</v>
      </c>
      <c r="I70" s="10" t="s">
        <v>111</v>
      </c>
      <c r="J70" s="10" t="s">
        <v>1104</v>
      </c>
      <c r="P70" s="10" t="s">
        <v>49</v>
      </c>
      <c r="Q70" s="10" t="n">
        <v>822.016</v>
      </c>
      <c r="R70" s="10" t="n">
        <v>822.016</v>
      </c>
      <c r="T70" s="10" t="n">
        <v>0.09</v>
      </c>
      <c r="U70" s="10" t="n">
        <v>0.2</v>
      </c>
      <c r="V70" s="10" t="n">
        <v>0.108</v>
      </c>
      <c r="W70" s="10" t="n">
        <v>0.73</v>
      </c>
      <c r="X70" s="10" t="n">
        <v>0.12</v>
      </c>
      <c r="Y70" s="10" t="n">
        <v>0.8176</v>
      </c>
      <c r="Z70" s="10" t="n">
        <v>760.8580096</v>
      </c>
    </row>
    <row r="71" customFormat="false" ht="13.5" hidden="false" customHeight="true" outlineLevel="0" collapsed="false">
      <c r="C71" s="10" t="s">
        <v>35</v>
      </c>
      <c r="D71" s="10" t="s">
        <v>254</v>
      </c>
      <c r="E71" s="10" t="s">
        <v>4</v>
      </c>
      <c r="F71" s="10" t="s">
        <v>1033</v>
      </c>
      <c r="G71" s="10" t="s">
        <v>68</v>
      </c>
      <c r="H71" s="10" t="s">
        <v>1218</v>
      </c>
      <c r="I71" s="10" t="s">
        <v>1211</v>
      </c>
      <c r="J71" s="10" t="s">
        <v>1123</v>
      </c>
      <c r="P71" s="10" t="s">
        <v>49</v>
      </c>
      <c r="Q71" s="10" t="n">
        <v>151.806016</v>
      </c>
      <c r="R71" s="10" t="n">
        <v>151.806016</v>
      </c>
      <c r="T71" s="10" t="n">
        <v>0.05</v>
      </c>
      <c r="U71" s="10" t="n">
        <v>0.2</v>
      </c>
      <c r="V71" s="10" t="n">
        <v>0.06</v>
      </c>
      <c r="W71" s="10" t="n">
        <v>1.2</v>
      </c>
      <c r="X71" s="10" t="n">
        <v>0.12</v>
      </c>
      <c r="Y71" s="10" t="n">
        <v>1.344</v>
      </c>
      <c r="Z71" s="10" t="n">
        <v>213.135646464</v>
      </c>
    </row>
    <row r="72" customFormat="false" ht="13.5" hidden="false" customHeight="true" outlineLevel="0" collapsed="false">
      <c r="C72" s="10" t="s">
        <v>35</v>
      </c>
      <c r="D72" s="10" t="s">
        <v>254</v>
      </c>
      <c r="E72" s="10" t="s">
        <v>4</v>
      </c>
      <c r="F72" s="10" t="s">
        <v>1033</v>
      </c>
      <c r="G72" s="10" t="s">
        <v>68</v>
      </c>
      <c r="H72" s="10" t="s">
        <v>180</v>
      </c>
      <c r="I72" s="10" t="s">
        <v>110</v>
      </c>
      <c r="J72" s="10" t="s">
        <v>1109</v>
      </c>
      <c r="M72" s="10" t="s">
        <v>1219</v>
      </c>
      <c r="P72" s="10" t="s">
        <v>47</v>
      </c>
      <c r="Q72" s="10" t="n">
        <v>26.016</v>
      </c>
      <c r="R72" s="10" t="n">
        <v>26.016</v>
      </c>
      <c r="T72" s="10" t="n">
        <v>10</v>
      </c>
      <c r="U72" s="10" t="n">
        <v>0.2</v>
      </c>
      <c r="V72" s="10" t="n">
        <v>12</v>
      </c>
      <c r="W72" s="10" t="n">
        <v>98</v>
      </c>
      <c r="X72" s="10" t="n">
        <v>0.12</v>
      </c>
      <c r="Y72" s="10" t="n">
        <v>109.76</v>
      </c>
      <c r="Z72" s="10" t="n">
        <v>3167.70816</v>
      </c>
    </row>
    <row r="73" customFormat="false" ht="13.5" hidden="false" customHeight="true" outlineLevel="0" collapsed="false">
      <c r="C73" s="10" t="s">
        <v>35</v>
      </c>
      <c r="D73" s="10" t="s">
        <v>254</v>
      </c>
      <c r="E73" s="10" t="s">
        <v>4</v>
      </c>
      <c r="F73" s="10" t="s">
        <v>1033</v>
      </c>
      <c r="G73" s="10" t="s">
        <v>68</v>
      </c>
      <c r="H73" s="10" t="s">
        <v>180</v>
      </c>
      <c r="I73" s="10" t="s">
        <v>153</v>
      </c>
      <c r="J73" s="10" t="s">
        <v>153</v>
      </c>
      <c r="P73" s="10" t="s">
        <v>45</v>
      </c>
      <c r="Q73" s="10" t="n">
        <v>390.24</v>
      </c>
      <c r="R73" s="10" t="n">
        <v>390.24</v>
      </c>
      <c r="T73" s="10" t="n">
        <v>6</v>
      </c>
      <c r="U73" s="10" t="n">
        <v>0.2</v>
      </c>
      <c r="V73" s="10" t="n">
        <v>7.2</v>
      </c>
      <c r="W73" s="10" t="n">
        <v>5</v>
      </c>
      <c r="X73" s="10" t="n">
        <v>0.12</v>
      </c>
      <c r="Y73" s="10" t="n">
        <v>5.6</v>
      </c>
      <c r="Z73" s="10" t="n">
        <v>4995.072</v>
      </c>
    </row>
    <row r="74" customFormat="false" ht="13.5" hidden="false" customHeight="true" outlineLevel="0" collapsed="false">
      <c r="C74" s="10" t="s">
        <v>35</v>
      </c>
      <c r="D74" s="10" t="s">
        <v>254</v>
      </c>
      <c r="E74" s="10" t="s">
        <v>4</v>
      </c>
      <c r="F74" s="10" t="s">
        <v>1033</v>
      </c>
      <c r="G74" s="10" t="s">
        <v>68</v>
      </c>
      <c r="H74" s="10" t="s">
        <v>180</v>
      </c>
      <c r="I74" s="10" t="s">
        <v>111</v>
      </c>
      <c r="J74" s="10" t="s">
        <v>1117</v>
      </c>
      <c r="P74" s="10" t="s">
        <v>49</v>
      </c>
      <c r="Q74" s="10" t="n">
        <v>219.955</v>
      </c>
      <c r="R74" s="10" t="n">
        <v>219.955</v>
      </c>
      <c r="T74" s="10" t="n">
        <v>0.12</v>
      </c>
      <c r="U74" s="10" t="n">
        <v>0.2</v>
      </c>
      <c r="V74" s="10" t="n">
        <v>0.144</v>
      </c>
      <c r="W74" s="10" t="n">
        <v>0.77</v>
      </c>
      <c r="X74" s="10" t="n">
        <v>0.12</v>
      </c>
      <c r="Y74" s="10" t="n">
        <v>0.8624</v>
      </c>
      <c r="Z74" s="10" t="n">
        <v>221.362712</v>
      </c>
    </row>
    <row r="75" customFormat="false" ht="13.5" hidden="false" customHeight="true" outlineLevel="0" collapsed="false">
      <c r="C75" s="10" t="s">
        <v>35</v>
      </c>
      <c r="D75" s="10" t="s">
        <v>254</v>
      </c>
      <c r="E75" s="10" t="s">
        <v>4</v>
      </c>
      <c r="F75" s="10" t="s">
        <v>1033</v>
      </c>
      <c r="G75" s="10" t="s">
        <v>68</v>
      </c>
      <c r="H75" s="10" t="s">
        <v>180</v>
      </c>
      <c r="I75" s="10" t="s">
        <v>111</v>
      </c>
      <c r="J75" s="10" t="s">
        <v>1100</v>
      </c>
      <c r="P75" s="10" t="s">
        <v>49</v>
      </c>
      <c r="Q75" s="10" t="n">
        <v>207</v>
      </c>
      <c r="R75" s="10" t="n">
        <v>207</v>
      </c>
      <c r="T75" s="10" t="n">
        <v>0.12</v>
      </c>
      <c r="U75" s="10" t="n">
        <v>0.2</v>
      </c>
      <c r="V75" s="10" t="n">
        <v>0.144</v>
      </c>
      <c r="W75" s="10" t="n">
        <v>0.78</v>
      </c>
      <c r="X75" s="10" t="n">
        <v>0.12</v>
      </c>
      <c r="Y75" s="10" t="n">
        <v>0.8736</v>
      </c>
      <c r="Z75" s="10" t="n">
        <v>210.6432</v>
      </c>
    </row>
    <row r="76" customFormat="false" ht="13.5" hidden="false" customHeight="true" outlineLevel="0" collapsed="false">
      <c r="C76" s="10" t="s">
        <v>35</v>
      </c>
      <c r="D76" s="10" t="s">
        <v>254</v>
      </c>
      <c r="E76" s="10" t="s">
        <v>4</v>
      </c>
      <c r="F76" s="10" t="s">
        <v>1033</v>
      </c>
      <c r="G76" s="10" t="s">
        <v>68</v>
      </c>
      <c r="H76" s="10" t="s">
        <v>180</v>
      </c>
      <c r="I76" s="10" t="s">
        <v>111</v>
      </c>
      <c r="J76" s="10" t="s">
        <v>1101</v>
      </c>
      <c r="P76" s="10" t="s">
        <v>49</v>
      </c>
      <c r="Q76" s="10" t="n">
        <v>2914.92</v>
      </c>
      <c r="R76" s="10" t="n">
        <v>2914.92</v>
      </c>
      <c r="T76" s="10" t="n">
        <v>0.11</v>
      </c>
      <c r="U76" s="10" t="n">
        <v>0.2</v>
      </c>
      <c r="V76" s="10" t="n">
        <v>0.132</v>
      </c>
      <c r="W76" s="10" t="n">
        <v>0.76</v>
      </c>
      <c r="X76" s="10" t="n">
        <v>0.12</v>
      </c>
      <c r="Y76" s="10" t="n">
        <v>0.8512</v>
      </c>
      <c r="Z76" s="10" t="n">
        <v>2865.949344</v>
      </c>
    </row>
    <row r="77" customFormat="false" ht="13.5" hidden="false" customHeight="true" outlineLevel="0" collapsed="false">
      <c r="C77" s="10" t="s">
        <v>35</v>
      </c>
      <c r="D77" s="10" t="s">
        <v>254</v>
      </c>
      <c r="E77" s="10" t="s">
        <v>4</v>
      </c>
      <c r="F77" s="10" t="s">
        <v>1033</v>
      </c>
      <c r="G77" s="10" t="s">
        <v>68</v>
      </c>
      <c r="H77" s="10" t="s">
        <v>180</v>
      </c>
      <c r="I77" s="10" t="s">
        <v>111</v>
      </c>
      <c r="J77" s="10" t="s">
        <v>1103</v>
      </c>
      <c r="P77" s="10" t="s">
        <v>49</v>
      </c>
      <c r="Q77" s="10" t="n">
        <v>535.9848</v>
      </c>
      <c r="R77" s="10" t="n">
        <v>535.9848</v>
      </c>
      <c r="T77" s="10" t="n">
        <v>0.1</v>
      </c>
      <c r="U77" s="10" t="n">
        <v>0.2</v>
      </c>
      <c r="V77" s="10" t="n">
        <v>0.12</v>
      </c>
      <c r="W77" s="10" t="n">
        <v>0.74</v>
      </c>
      <c r="X77" s="10" t="n">
        <v>0.12</v>
      </c>
      <c r="Y77" s="10" t="n">
        <v>0.8288</v>
      </c>
      <c r="Z77" s="10" t="n">
        <v>508.54237824</v>
      </c>
    </row>
    <row r="78" customFormat="false" ht="13.5" hidden="false" customHeight="true" outlineLevel="0" collapsed="false">
      <c r="C78" s="10" t="s">
        <v>35</v>
      </c>
      <c r="D78" s="10" t="s">
        <v>254</v>
      </c>
      <c r="E78" s="10" t="s">
        <v>4</v>
      </c>
      <c r="F78" s="10" t="s">
        <v>1033</v>
      </c>
      <c r="G78" s="10" t="s">
        <v>68</v>
      </c>
      <c r="H78" s="10" t="s">
        <v>180</v>
      </c>
      <c r="I78" s="10" t="s">
        <v>111</v>
      </c>
      <c r="J78" s="10" t="s">
        <v>1104</v>
      </c>
      <c r="P78" s="10" t="s">
        <v>49</v>
      </c>
      <c r="Q78" s="10" t="n">
        <v>254.384</v>
      </c>
      <c r="R78" s="10" t="n">
        <v>254.384</v>
      </c>
      <c r="T78" s="10" t="n">
        <v>0.09</v>
      </c>
      <c r="U78" s="10" t="n">
        <v>0.2</v>
      </c>
      <c r="V78" s="10" t="n">
        <v>0.108</v>
      </c>
      <c r="W78" s="10" t="n">
        <v>0.73</v>
      </c>
      <c r="X78" s="10" t="n">
        <v>0.12</v>
      </c>
      <c r="Y78" s="10" t="n">
        <v>0.8176</v>
      </c>
      <c r="Z78" s="10" t="n">
        <v>235.4578304</v>
      </c>
    </row>
    <row r="79" customFormat="false" ht="13.5" hidden="false" customHeight="true" outlineLevel="0" collapsed="false">
      <c r="C79" s="10" t="s">
        <v>35</v>
      </c>
      <c r="D79" s="10" t="s">
        <v>254</v>
      </c>
      <c r="E79" s="10" t="s">
        <v>4</v>
      </c>
      <c r="F79" s="10" t="s">
        <v>1033</v>
      </c>
      <c r="G79" s="10" t="s">
        <v>68</v>
      </c>
      <c r="H79" s="10" t="s">
        <v>180</v>
      </c>
      <c r="I79" s="10" t="s">
        <v>1211</v>
      </c>
      <c r="J79" s="10" t="s">
        <v>1123</v>
      </c>
      <c r="P79" s="10" t="s">
        <v>49</v>
      </c>
      <c r="Q79" s="10" t="n">
        <v>165.289752</v>
      </c>
      <c r="R79" s="10" t="n">
        <v>165.289752</v>
      </c>
      <c r="T79" s="10" t="n">
        <v>0.05</v>
      </c>
      <c r="U79" s="10" t="n">
        <v>0.2</v>
      </c>
      <c r="V79" s="10" t="n">
        <v>0.06</v>
      </c>
      <c r="W79" s="10" t="n">
        <v>1.2</v>
      </c>
      <c r="X79" s="10" t="n">
        <v>0.12</v>
      </c>
      <c r="Y79" s="10" t="n">
        <v>1.344</v>
      </c>
      <c r="Z79" s="10" t="n">
        <v>232.066811808</v>
      </c>
    </row>
    <row r="80" customFormat="false" ht="13.5" hidden="false" customHeight="true" outlineLevel="0" collapsed="false">
      <c r="C80" s="10" t="s">
        <v>35</v>
      </c>
      <c r="D80" s="10" t="s">
        <v>254</v>
      </c>
      <c r="E80" s="10" t="s">
        <v>4</v>
      </c>
      <c r="F80" s="10" t="s">
        <v>1034</v>
      </c>
      <c r="G80" s="10" t="s">
        <v>68</v>
      </c>
      <c r="H80" s="10" t="s">
        <v>166</v>
      </c>
      <c r="I80" s="10" t="s">
        <v>110</v>
      </c>
      <c r="J80" s="10" t="s">
        <v>1109</v>
      </c>
      <c r="P80" s="10" t="s">
        <v>47</v>
      </c>
      <c r="Q80" s="10" t="n">
        <v>33.6095</v>
      </c>
      <c r="R80" s="10" t="n">
        <v>33.6095</v>
      </c>
      <c r="T80" s="10" t="n">
        <v>10</v>
      </c>
      <c r="U80" s="10" t="n">
        <v>0.2</v>
      </c>
      <c r="V80" s="10" t="n">
        <v>12</v>
      </c>
      <c r="W80" s="10" t="n">
        <v>98</v>
      </c>
      <c r="X80" s="10" t="n">
        <v>0.12</v>
      </c>
      <c r="Y80" s="10" t="n">
        <v>109.76</v>
      </c>
      <c r="Z80" s="10" t="n">
        <v>4092.29272</v>
      </c>
    </row>
    <row r="81" customFormat="false" ht="13.5" hidden="false" customHeight="true" outlineLevel="0" collapsed="false">
      <c r="C81" s="10" t="s">
        <v>35</v>
      </c>
      <c r="D81" s="10" t="s">
        <v>254</v>
      </c>
      <c r="E81" s="10" t="s">
        <v>4</v>
      </c>
      <c r="F81" s="10" t="s">
        <v>1034</v>
      </c>
      <c r="G81" s="10" t="s">
        <v>68</v>
      </c>
      <c r="H81" s="10" t="s">
        <v>166</v>
      </c>
      <c r="I81" s="10" t="s">
        <v>153</v>
      </c>
      <c r="J81" s="10" t="s">
        <v>153</v>
      </c>
      <c r="P81" s="10" t="s">
        <v>45</v>
      </c>
      <c r="Q81" s="10" t="n">
        <v>319.12</v>
      </c>
      <c r="R81" s="10" t="n">
        <v>319.12</v>
      </c>
      <c r="T81" s="10" t="n">
        <v>6</v>
      </c>
      <c r="U81" s="10" t="n">
        <v>0.2</v>
      </c>
      <c r="V81" s="10" t="n">
        <v>7.2</v>
      </c>
      <c r="W81" s="10" t="n">
        <v>5</v>
      </c>
      <c r="X81" s="10" t="n">
        <v>0.12</v>
      </c>
      <c r="Y81" s="10" t="n">
        <v>5.6</v>
      </c>
      <c r="Z81" s="10" t="n">
        <v>4084.736</v>
      </c>
    </row>
    <row r="82" customFormat="false" ht="13.5" hidden="false" customHeight="true" outlineLevel="0" collapsed="false">
      <c r="C82" s="10" t="s">
        <v>35</v>
      </c>
      <c r="D82" s="10" t="s">
        <v>254</v>
      </c>
      <c r="E82" s="10" t="s">
        <v>4</v>
      </c>
      <c r="F82" s="10" t="s">
        <v>1034</v>
      </c>
      <c r="G82" s="10" t="s">
        <v>68</v>
      </c>
      <c r="H82" s="10" t="s">
        <v>166</v>
      </c>
      <c r="I82" s="10" t="s">
        <v>111</v>
      </c>
      <c r="J82" s="10" t="s">
        <v>1117</v>
      </c>
      <c r="P82" s="10" t="s">
        <v>49</v>
      </c>
      <c r="Q82" s="10" t="n">
        <v>465.784</v>
      </c>
      <c r="R82" s="10" t="n">
        <v>465.784</v>
      </c>
      <c r="T82" s="10" t="n">
        <v>0.12</v>
      </c>
      <c r="U82" s="10" t="n">
        <v>0.2</v>
      </c>
      <c r="V82" s="10" t="n">
        <v>0.144</v>
      </c>
      <c r="W82" s="10" t="n">
        <v>0.77</v>
      </c>
      <c r="X82" s="10" t="n">
        <v>0.12</v>
      </c>
      <c r="Y82" s="10" t="n">
        <v>0.8624</v>
      </c>
      <c r="Z82" s="10" t="n">
        <v>468.7650176</v>
      </c>
    </row>
    <row r="83" customFormat="false" ht="13.5" hidden="false" customHeight="true" outlineLevel="0" collapsed="false">
      <c r="C83" s="10" t="s">
        <v>35</v>
      </c>
      <c r="D83" s="10" t="s">
        <v>254</v>
      </c>
      <c r="E83" s="10" t="s">
        <v>4</v>
      </c>
      <c r="F83" s="10" t="s">
        <v>1034</v>
      </c>
      <c r="G83" s="10" t="s">
        <v>68</v>
      </c>
      <c r="H83" s="10" t="s">
        <v>166</v>
      </c>
      <c r="I83" s="10" t="s">
        <v>111</v>
      </c>
      <c r="J83" s="10" t="s">
        <v>1100</v>
      </c>
      <c r="P83" s="10" t="s">
        <v>49</v>
      </c>
      <c r="Q83" s="10" t="n">
        <v>2016.09333333333</v>
      </c>
      <c r="R83" s="10" t="n">
        <v>2016.09333333333</v>
      </c>
      <c r="T83" s="10" t="n">
        <v>0.12</v>
      </c>
      <c r="U83" s="10" t="n">
        <v>0.2</v>
      </c>
      <c r="V83" s="10" t="n">
        <v>0.144</v>
      </c>
      <c r="W83" s="10" t="n">
        <v>0.78</v>
      </c>
      <c r="X83" s="10" t="n">
        <v>0.12</v>
      </c>
      <c r="Y83" s="10" t="n">
        <v>0.8736</v>
      </c>
      <c r="Z83" s="10" t="n">
        <v>2051.576576</v>
      </c>
    </row>
    <row r="84" customFormat="false" ht="13.5" hidden="false" customHeight="true" outlineLevel="0" collapsed="false">
      <c r="C84" s="10" t="s">
        <v>35</v>
      </c>
      <c r="D84" s="10" t="s">
        <v>254</v>
      </c>
      <c r="E84" s="10" t="s">
        <v>4</v>
      </c>
      <c r="F84" s="10" t="s">
        <v>1034</v>
      </c>
      <c r="G84" s="10" t="s">
        <v>68</v>
      </c>
      <c r="H84" s="10" t="s">
        <v>166</v>
      </c>
      <c r="I84" s="10" t="s">
        <v>111</v>
      </c>
      <c r="J84" s="10" t="s">
        <v>1101</v>
      </c>
      <c r="P84" s="10" t="s">
        <v>49</v>
      </c>
      <c r="Q84" s="10" t="n">
        <v>281.1408</v>
      </c>
      <c r="R84" s="10" t="n">
        <v>281.1408</v>
      </c>
      <c r="T84" s="10" t="n">
        <v>0.11</v>
      </c>
      <c r="U84" s="10" t="n">
        <v>0.2</v>
      </c>
      <c r="V84" s="10" t="n">
        <v>0.132</v>
      </c>
      <c r="W84" s="10" t="n">
        <v>0.76</v>
      </c>
      <c r="X84" s="10" t="n">
        <v>0.12</v>
      </c>
      <c r="Y84" s="10" t="n">
        <v>0.8512</v>
      </c>
      <c r="Z84" s="10" t="n">
        <v>276.41763456</v>
      </c>
    </row>
    <row r="85" customFormat="false" ht="13.5" hidden="false" customHeight="true" outlineLevel="0" collapsed="false">
      <c r="C85" s="10" t="s">
        <v>35</v>
      </c>
      <c r="D85" s="10" t="s">
        <v>254</v>
      </c>
      <c r="E85" s="10" t="s">
        <v>4</v>
      </c>
      <c r="F85" s="10" t="s">
        <v>1034</v>
      </c>
      <c r="G85" s="10" t="s">
        <v>68</v>
      </c>
      <c r="H85" s="10" t="s">
        <v>166</v>
      </c>
      <c r="I85" s="10" t="s">
        <v>111</v>
      </c>
      <c r="J85" s="10" t="s">
        <v>1103</v>
      </c>
      <c r="P85" s="10" t="s">
        <v>49</v>
      </c>
      <c r="Q85" s="10" t="n">
        <v>1600.7232</v>
      </c>
      <c r="R85" s="10" t="n">
        <v>1600.7232</v>
      </c>
      <c r="T85" s="10" t="n">
        <v>0.1</v>
      </c>
      <c r="U85" s="10" t="n">
        <v>0.2</v>
      </c>
      <c r="V85" s="10" t="n">
        <v>0.12</v>
      </c>
      <c r="W85" s="10" t="n">
        <v>0.74</v>
      </c>
      <c r="X85" s="10" t="n">
        <v>0.12</v>
      </c>
      <c r="Y85" s="10" t="n">
        <v>0.8288</v>
      </c>
      <c r="Z85" s="10" t="n">
        <v>1518.76617216</v>
      </c>
    </row>
    <row r="86" customFormat="false" ht="13.5" hidden="false" customHeight="true" outlineLevel="0" collapsed="false">
      <c r="C86" s="10" t="s">
        <v>35</v>
      </c>
      <c r="D86" s="10" t="s">
        <v>254</v>
      </c>
      <c r="E86" s="10" t="s">
        <v>4</v>
      </c>
      <c r="F86" s="10" t="s">
        <v>1034</v>
      </c>
      <c r="G86" s="10" t="s">
        <v>68</v>
      </c>
      <c r="H86" s="10" t="s">
        <v>166</v>
      </c>
      <c r="I86" s="10" t="s">
        <v>111</v>
      </c>
      <c r="J86" s="10" t="s">
        <v>1104</v>
      </c>
      <c r="P86" s="10" t="s">
        <v>49</v>
      </c>
      <c r="Q86" s="10" t="n">
        <v>1953.072</v>
      </c>
      <c r="R86" s="10" t="n">
        <v>1953.072</v>
      </c>
      <c r="T86" s="10" t="n">
        <v>0.09</v>
      </c>
      <c r="U86" s="10" t="n">
        <v>0.2</v>
      </c>
      <c r="V86" s="10" t="n">
        <v>0.108</v>
      </c>
      <c r="W86" s="10" t="n">
        <v>0.73</v>
      </c>
      <c r="X86" s="10" t="n">
        <v>0.12</v>
      </c>
      <c r="Y86" s="10" t="n">
        <v>0.8176</v>
      </c>
      <c r="Z86" s="10" t="n">
        <v>1807.7634432</v>
      </c>
    </row>
    <row r="87" customFormat="false" ht="13.5" hidden="false" customHeight="true" outlineLevel="0" collapsed="false">
      <c r="C87" s="10" t="s">
        <v>35</v>
      </c>
      <c r="D87" s="10" t="s">
        <v>254</v>
      </c>
      <c r="E87" s="10" t="s">
        <v>4</v>
      </c>
      <c r="F87" s="10" t="s">
        <v>1034</v>
      </c>
      <c r="G87" s="10" t="s">
        <v>68</v>
      </c>
      <c r="H87" s="10" t="s">
        <v>166</v>
      </c>
      <c r="I87" s="10" t="s">
        <v>111</v>
      </c>
      <c r="J87" s="10" t="s">
        <v>1105</v>
      </c>
      <c r="P87" s="10" t="s">
        <v>49</v>
      </c>
      <c r="Q87" s="10" t="n">
        <v>4876.3568</v>
      </c>
      <c r="R87" s="10" t="n">
        <v>4876.3568</v>
      </c>
      <c r="T87" s="10" t="n">
        <v>0.08</v>
      </c>
      <c r="U87" s="10" t="n">
        <v>0.2</v>
      </c>
      <c r="V87" s="10" t="n">
        <v>0.096</v>
      </c>
      <c r="W87" s="10" t="n">
        <v>0.72</v>
      </c>
      <c r="X87" s="10" t="n">
        <v>0.12</v>
      </c>
      <c r="Y87" s="10" t="n">
        <v>0.8064</v>
      </c>
      <c r="Z87" s="10" t="n">
        <v>4400.42437632</v>
      </c>
    </row>
    <row r="88" customFormat="false" ht="13.5" hidden="false" customHeight="true" outlineLevel="0" collapsed="false">
      <c r="C88" s="10" t="s">
        <v>35</v>
      </c>
      <c r="D88" s="10" t="s">
        <v>254</v>
      </c>
      <c r="E88" s="10" t="s">
        <v>4</v>
      </c>
      <c r="F88" s="10" t="s">
        <v>1034</v>
      </c>
      <c r="G88" s="10" t="s">
        <v>68</v>
      </c>
      <c r="H88" s="10" t="s">
        <v>166</v>
      </c>
      <c r="I88" s="10" t="s">
        <v>1211</v>
      </c>
      <c r="J88" s="10" t="s">
        <v>1123</v>
      </c>
      <c r="P88" s="10" t="s">
        <v>49</v>
      </c>
      <c r="Q88" s="10" t="n">
        <v>429.095445333333</v>
      </c>
      <c r="R88" s="10" t="n">
        <v>429.095445333333</v>
      </c>
      <c r="T88" s="10" t="n">
        <v>0.05</v>
      </c>
      <c r="U88" s="10" t="n">
        <v>0.2</v>
      </c>
      <c r="V88" s="10" t="n">
        <v>0.06</v>
      </c>
      <c r="W88" s="10" t="n">
        <v>1.2</v>
      </c>
      <c r="X88" s="10" t="n">
        <v>0.12</v>
      </c>
      <c r="Y88" s="10" t="n">
        <v>1.344</v>
      </c>
      <c r="Z88" s="10" t="n">
        <v>602.450005248</v>
      </c>
    </row>
    <row r="89" customFormat="false" ht="13.5" hidden="false" customHeight="true" outlineLevel="0" collapsed="false">
      <c r="C89" s="10" t="s">
        <v>35</v>
      </c>
      <c r="D89" s="10" t="s">
        <v>254</v>
      </c>
      <c r="E89" s="10" t="s">
        <v>4</v>
      </c>
      <c r="F89" s="10" t="s">
        <v>1034</v>
      </c>
      <c r="G89" s="10" t="s">
        <v>68</v>
      </c>
      <c r="H89" s="10" t="s">
        <v>170</v>
      </c>
      <c r="I89" s="10" t="s">
        <v>110</v>
      </c>
      <c r="J89" s="10" t="s">
        <v>1109</v>
      </c>
      <c r="P89" s="10" t="s">
        <v>47</v>
      </c>
      <c r="Q89" s="10" t="n">
        <v>55.5</v>
      </c>
      <c r="R89" s="10" t="n">
        <v>55.5</v>
      </c>
      <c r="T89" s="10" t="n">
        <v>10</v>
      </c>
      <c r="U89" s="10" t="n">
        <v>0.2</v>
      </c>
      <c r="V89" s="10" t="n">
        <v>12</v>
      </c>
      <c r="W89" s="10" t="n">
        <v>98</v>
      </c>
      <c r="X89" s="10" t="n">
        <v>0.12</v>
      </c>
      <c r="Y89" s="10" t="n">
        <v>109.76</v>
      </c>
      <c r="Z89" s="10" t="n">
        <v>6757.68</v>
      </c>
    </row>
    <row r="90" customFormat="false" ht="13.5" hidden="false" customHeight="true" outlineLevel="0" collapsed="false">
      <c r="C90" s="10" t="s">
        <v>35</v>
      </c>
      <c r="D90" s="10" t="s">
        <v>254</v>
      </c>
      <c r="E90" s="10" t="s">
        <v>4</v>
      </c>
      <c r="F90" s="10" t="s">
        <v>1034</v>
      </c>
      <c r="G90" s="10" t="s">
        <v>68</v>
      </c>
      <c r="H90" s="10" t="s">
        <v>170</v>
      </c>
      <c r="I90" s="10" t="s">
        <v>153</v>
      </c>
      <c r="J90" s="10" t="s">
        <v>153</v>
      </c>
      <c r="P90" s="10" t="s">
        <v>45</v>
      </c>
      <c r="Q90" s="10" t="n">
        <v>370</v>
      </c>
      <c r="R90" s="10" t="n">
        <v>370</v>
      </c>
      <c r="T90" s="10" t="n">
        <v>6</v>
      </c>
      <c r="U90" s="10" t="n">
        <v>0.2</v>
      </c>
      <c r="V90" s="10" t="n">
        <v>7.2</v>
      </c>
      <c r="W90" s="10" t="n">
        <v>5</v>
      </c>
      <c r="X90" s="10" t="n">
        <v>0.12</v>
      </c>
      <c r="Y90" s="10" t="n">
        <v>5.6</v>
      </c>
      <c r="Z90" s="10" t="n">
        <v>4736</v>
      </c>
    </row>
    <row r="91" customFormat="false" ht="13.5" hidden="false" customHeight="true" outlineLevel="0" collapsed="false">
      <c r="C91" s="10" t="s">
        <v>35</v>
      </c>
      <c r="D91" s="10" t="s">
        <v>254</v>
      </c>
      <c r="E91" s="10" t="s">
        <v>4</v>
      </c>
      <c r="F91" s="10" t="s">
        <v>1034</v>
      </c>
      <c r="G91" s="10" t="s">
        <v>68</v>
      </c>
      <c r="H91" s="10" t="s">
        <v>170</v>
      </c>
      <c r="I91" s="10" t="s">
        <v>111</v>
      </c>
      <c r="J91" s="10" t="s">
        <v>1100</v>
      </c>
      <c r="P91" s="10" t="s">
        <v>49</v>
      </c>
      <c r="Q91" s="10" t="n">
        <v>7335</v>
      </c>
      <c r="R91" s="10" t="n">
        <v>7335</v>
      </c>
      <c r="T91" s="10" t="n">
        <v>0.12</v>
      </c>
      <c r="U91" s="10" t="n">
        <v>0.2</v>
      </c>
      <c r="V91" s="10" t="n">
        <v>0.144</v>
      </c>
      <c r="W91" s="10" t="n">
        <v>0.78</v>
      </c>
      <c r="X91" s="10" t="n">
        <v>0.12</v>
      </c>
      <c r="Y91" s="10" t="n">
        <v>0.8736</v>
      </c>
      <c r="Z91" s="10" t="n">
        <v>7464.096</v>
      </c>
    </row>
    <row r="92" customFormat="false" ht="13.5" hidden="false" customHeight="true" outlineLevel="0" collapsed="false">
      <c r="C92" s="10" t="s">
        <v>35</v>
      </c>
      <c r="D92" s="10" t="s">
        <v>254</v>
      </c>
      <c r="E92" s="10" t="s">
        <v>4</v>
      </c>
      <c r="F92" s="10" t="s">
        <v>1034</v>
      </c>
      <c r="G92" s="10" t="s">
        <v>68</v>
      </c>
      <c r="H92" s="10" t="s">
        <v>170</v>
      </c>
      <c r="I92" s="10" t="s">
        <v>111</v>
      </c>
      <c r="J92" s="10" t="s">
        <v>1101</v>
      </c>
      <c r="P92" s="10" t="s">
        <v>49</v>
      </c>
      <c r="Q92" s="10" t="n">
        <v>372.96</v>
      </c>
      <c r="R92" s="10" t="n">
        <v>372.96</v>
      </c>
      <c r="T92" s="10" t="n">
        <v>0.11</v>
      </c>
      <c r="U92" s="10" t="n">
        <v>0.2</v>
      </c>
      <c r="V92" s="10" t="n">
        <v>0.132</v>
      </c>
      <c r="W92" s="10" t="n">
        <v>0.76</v>
      </c>
      <c r="X92" s="10" t="n">
        <v>0.12</v>
      </c>
      <c r="Y92" s="10" t="n">
        <v>0.8512</v>
      </c>
      <c r="Z92" s="10" t="n">
        <v>366.694272</v>
      </c>
    </row>
    <row r="93" customFormat="false" ht="13.5" hidden="false" customHeight="true" outlineLevel="0" collapsed="false">
      <c r="C93" s="10" t="s">
        <v>35</v>
      </c>
      <c r="D93" s="10" t="s">
        <v>254</v>
      </c>
      <c r="E93" s="10" t="s">
        <v>4</v>
      </c>
      <c r="F93" s="10" t="s">
        <v>1034</v>
      </c>
      <c r="G93" s="10" t="s">
        <v>68</v>
      </c>
      <c r="H93" s="10" t="s">
        <v>170</v>
      </c>
      <c r="I93" s="10" t="s">
        <v>1211</v>
      </c>
      <c r="J93" s="10" t="s">
        <v>1123</v>
      </c>
      <c r="P93" s="10" t="s">
        <v>49</v>
      </c>
      <c r="Q93" s="10" t="n">
        <v>308.3184</v>
      </c>
      <c r="R93" s="10" t="n">
        <v>308.3184</v>
      </c>
      <c r="T93" s="10" t="n">
        <v>0.05</v>
      </c>
      <c r="U93" s="10" t="n">
        <v>0.2</v>
      </c>
      <c r="V93" s="10" t="n">
        <v>0.06</v>
      </c>
      <c r="W93" s="10" t="n">
        <v>1.2</v>
      </c>
      <c r="X93" s="10" t="n">
        <v>0.12</v>
      </c>
      <c r="Y93" s="10" t="n">
        <v>1.344</v>
      </c>
      <c r="Z93" s="10" t="n">
        <v>432.8790336</v>
      </c>
    </row>
    <row r="94" customFormat="false" ht="13.5" hidden="false" customHeight="true" outlineLevel="0" collapsed="false">
      <c r="C94" s="10" t="s">
        <v>35</v>
      </c>
      <c r="D94" s="10" t="s">
        <v>254</v>
      </c>
      <c r="E94" s="10" t="s">
        <v>4</v>
      </c>
      <c r="F94" s="10" t="s">
        <v>1034</v>
      </c>
      <c r="G94" s="10" t="s">
        <v>68</v>
      </c>
      <c r="H94" s="10" t="s">
        <v>175</v>
      </c>
      <c r="I94" s="10" t="s">
        <v>110</v>
      </c>
      <c r="J94" s="10" t="s">
        <v>1109</v>
      </c>
      <c r="P94" s="10" t="s">
        <v>47</v>
      </c>
      <c r="Q94" s="10" t="n">
        <v>39.312</v>
      </c>
      <c r="R94" s="10" t="n">
        <v>39.312</v>
      </c>
      <c r="T94" s="10" t="n">
        <v>10</v>
      </c>
      <c r="U94" s="10" t="n">
        <v>0.2</v>
      </c>
      <c r="V94" s="10" t="n">
        <v>12</v>
      </c>
      <c r="W94" s="10" t="n">
        <v>98</v>
      </c>
      <c r="X94" s="10" t="n">
        <v>0.12</v>
      </c>
      <c r="Y94" s="10" t="n">
        <v>109.76</v>
      </c>
      <c r="Z94" s="10" t="n">
        <v>4786.62912</v>
      </c>
    </row>
    <row r="95" customFormat="false" ht="13.5" hidden="false" customHeight="true" outlineLevel="0" collapsed="false">
      <c r="C95" s="10" t="s">
        <v>35</v>
      </c>
      <c r="D95" s="10" t="s">
        <v>254</v>
      </c>
      <c r="E95" s="10" t="s">
        <v>4</v>
      </c>
      <c r="F95" s="10" t="s">
        <v>1034</v>
      </c>
      <c r="G95" s="10" t="s">
        <v>68</v>
      </c>
      <c r="H95" s="10" t="s">
        <v>175</v>
      </c>
      <c r="I95" s="10" t="s">
        <v>153</v>
      </c>
      <c r="J95" s="10" t="s">
        <v>153</v>
      </c>
      <c r="P95" s="10" t="s">
        <v>45</v>
      </c>
      <c r="Q95" s="10" t="n">
        <v>190.08</v>
      </c>
      <c r="R95" s="10" t="n">
        <v>190.08</v>
      </c>
      <c r="T95" s="10" t="n">
        <v>6</v>
      </c>
      <c r="U95" s="10" t="n">
        <v>0.2</v>
      </c>
      <c r="V95" s="10" t="n">
        <v>7.2</v>
      </c>
      <c r="W95" s="10" t="n">
        <v>5</v>
      </c>
      <c r="X95" s="10" t="n">
        <v>0.12</v>
      </c>
      <c r="Y95" s="10" t="n">
        <v>5.6</v>
      </c>
      <c r="Z95" s="10" t="n">
        <v>2433.024</v>
      </c>
    </row>
    <row r="96" customFormat="false" ht="13.5" hidden="false" customHeight="true" outlineLevel="0" collapsed="false">
      <c r="C96" s="10" t="s">
        <v>35</v>
      </c>
      <c r="D96" s="10" t="s">
        <v>254</v>
      </c>
      <c r="E96" s="10" t="s">
        <v>4</v>
      </c>
      <c r="F96" s="10" t="s">
        <v>1034</v>
      </c>
      <c r="G96" s="10" t="s">
        <v>68</v>
      </c>
      <c r="H96" s="10" t="s">
        <v>175</v>
      </c>
      <c r="I96" s="10" t="s">
        <v>111</v>
      </c>
      <c r="J96" s="10" t="s">
        <v>1101</v>
      </c>
      <c r="P96" s="10" t="s">
        <v>49</v>
      </c>
      <c r="Q96" s="10" t="n">
        <v>2623.93344</v>
      </c>
      <c r="R96" s="10" t="n">
        <v>2623.93344</v>
      </c>
      <c r="T96" s="10" t="n">
        <v>0.11</v>
      </c>
      <c r="U96" s="10" t="n">
        <v>0.2</v>
      </c>
      <c r="V96" s="10" t="n">
        <v>0.132</v>
      </c>
      <c r="W96" s="10" t="n">
        <v>0.76</v>
      </c>
      <c r="X96" s="10" t="n">
        <v>0.12</v>
      </c>
      <c r="Y96" s="10" t="n">
        <v>0.8512</v>
      </c>
      <c r="Z96" s="10" t="n">
        <v>2579.851358208</v>
      </c>
    </row>
    <row r="97" customFormat="false" ht="13.5" hidden="false" customHeight="true" outlineLevel="0" collapsed="false">
      <c r="C97" s="10" t="s">
        <v>35</v>
      </c>
      <c r="D97" s="10" t="s">
        <v>254</v>
      </c>
      <c r="E97" s="10" t="s">
        <v>4</v>
      </c>
      <c r="F97" s="10" t="s">
        <v>1034</v>
      </c>
      <c r="G97" s="10" t="s">
        <v>68</v>
      </c>
      <c r="H97" s="10" t="s">
        <v>175</v>
      </c>
      <c r="I97" s="10" t="s">
        <v>111</v>
      </c>
      <c r="J97" s="10" t="s">
        <v>1105</v>
      </c>
      <c r="P97" s="10" t="s">
        <v>49</v>
      </c>
      <c r="Q97" s="10" t="n">
        <v>1700.16</v>
      </c>
      <c r="R97" s="10" t="n">
        <v>1700.16</v>
      </c>
      <c r="T97" s="10" t="n">
        <v>0.08</v>
      </c>
      <c r="U97" s="10" t="n">
        <v>0.2</v>
      </c>
      <c r="V97" s="10" t="n">
        <v>0.096</v>
      </c>
      <c r="W97" s="10" t="n">
        <v>0.72</v>
      </c>
      <c r="X97" s="10" t="n">
        <v>0.12</v>
      </c>
      <c r="Y97" s="10" t="n">
        <v>0.8064</v>
      </c>
      <c r="Z97" s="10" t="n">
        <v>1534.224384</v>
      </c>
    </row>
    <row r="98" customFormat="false" ht="13.5" hidden="false" customHeight="true" outlineLevel="0" collapsed="false">
      <c r="C98" s="10" t="s">
        <v>35</v>
      </c>
      <c r="D98" s="10" t="s">
        <v>254</v>
      </c>
      <c r="E98" s="10" t="s">
        <v>4</v>
      </c>
      <c r="F98" s="10" t="s">
        <v>1034</v>
      </c>
      <c r="G98" s="10" t="s">
        <v>68</v>
      </c>
      <c r="H98" s="10" t="s">
        <v>175</v>
      </c>
      <c r="I98" s="10" t="s">
        <v>111</v>
      </c>
      <c r="J98" s="10" t="s">
        <v>1106</v>
      </c>
      <c r="P98" s="10" t="s">
        <v>49</v>
      </c>
      <c r="Q98" s="10" t="n">
        <v>9303.04</v>
      </c>
      <c r="R98" s="10" t="n">
        <v>9303.04</v>
      </c>
      <c r="T98" s="10" t="n">
        <v>0.08</v>
      </c>
      <c r="U98" s="10" t="n">
        <v>0.2</v>
      </c>
      <c r="V98" s="10" t="n">
        <v>0.096</v>
      </c>
      <c r="W98" s="10" t="n">
        <v>0.71</v>
      </c>
      <c r="X98" s="10" t="n">
        <v>0.12</v>
      </c>
      <c r="Y98" s="10" t="n">
        <v>0.7952</v>
      </c>
      <c r="Z98" s="10" t="n">
        <v>8290.869248</v>
      </c>
    </row>
    <row r="99" customFormat="false" ht="13.5" hidden="false" customHeight="true" outlineLevel="0" collapsed="false">
      <c r="C99" s="10" t="s">
        <v>35</v>
      </c>
      <c r="D99" s="10" t="s">
        <v>254</v>
      </c>
      <c r="E99" s="10" t="s">
        <v>4</v>
      </c>
      <c r="F99" s="10" t="s">
        <v>1034</v>
      </c>
      <c r="G99" s="10" t="s">
        <v>68</v>
      </c>
      <c r="H99" s="10" t="s">
        <v>175</v>
      </c>
      <c r="I99" s="10" t="s">
        <v>1211</v>
      </c>
      <c r="J99" s="10" t="s">
        <v>1123</v>
      </c>
      <c r="P99" s="10" t="s">
        <v>49</v>
      </c>
      <c r="Q99" s="10" t="n">
        <v>545.0853376</v>
      </c>
      <c r="R99" s="10" t="n">
        <v>545.0853376</v>
      </c>
      <c r="T99" s="10" t="n">
        <v>0.05</v>
      </c>
      <c r="U99" s="10" t="n">
        <v>0.2</v>
      </c>
      <c r="V99" s="10" t="n">
        <v>0.06</v>
      </c>
      <c r="W99" s="10" t="n">
        <v>1.2</v>
      </c>
      <c r="X99" s="10" t="n">
        <v>0.12</v>
      </c>
      <c r="Y99" s="10" t="n">
        <v>1.344</v>
      </c>
      <c r="Z99" s="10" t="n">
        <v>765.2998139904</v>
      </c>
    </row>
    <row r="100" customFormat="false" ht="13.5" hidden="false" customHeight="true" outlineLevel="0" collapsed="false">
      <c r="C100" s="10" t="s">
        <v>35</v>
      </c>
      <c r="D100" s="10" t="s">
        <v>254</v>
      </c>
      <c r="E100" s="10" t="s">
        <v>4</v>
      </c>
      <c r="F100" s="10" t="s">
        <v>1034</v>
      </c>
      <c r="G100" s="10" t="s">
        <v>68</v>
      </c>
      <c r="H100" s="10" t="s">
        <v>1218</v>
      </c>
      <c r="I100" s="10" t="s">
        <v>110</v>
      </c>
      <c r="J100" s="10" t="s">
        <v>1109</v>
      </c>
      <c r="P100" s="10" t="s">
        <v>47</v>
      </c>
      <c r="Q100" s="10" t="n">
        <v>20.31</v>
      </c>
      <c r="R100" s="10" t="n">
        <v>20.31</v>
      </c>
      <c r="T100" s="10" t="n">
        <v>10</v>
      </c>
      <c r="U100" s="10" t="n">
        <v>0.2</v>
      </c>
      <c r="V100" s="10" t="n">
        <v>12</v>
      </c>
      <c r="W100" s="10" t="n">
        <v>98</v>
      </c>
      <c r="X100" s="10" t="n">
        <v>0.12</v>
      </c>
      <c r="Y100" s="10" t="n">
        <v>109.76</v>
      </c>
      <c r="Z100" s="10" t="n">
        <v>2472.9456</v>
      </c>
    </row>
    <row r="101" customFormat="false" ht="13.5" hidden="false" customHeight="true" outlineLevel="0" collapsed="false">
      <c r="C101" s="10" t="s">
        <v>35</v>
      </c>
      <c r="D101" s="10" t="s">
        <v>254</v>
      </c>
      <c r="E101" s="10" t="s">
        <v>4</v>
      </c>
      <c r="F101" s="10" t="s">
        <v>1034</v>
      </c>
      <c r="G101" s="10" t="s">
        <v>68</v>
      </c>
      <c r="H101" s="10" t="s">
        <v>1218</v>
      </c>
      <c r="I101" s="10" t="s">
        <v>153</v>
      </c>
      <c r="J101" s="10" t="s">
        <v>153</v>
      </c>
      <c r="P101" s="10" t="s">
        <v>45</v>
      </c>
      <c r="Q101" s="10" t="n">
        <v>120.5</v>
      </c>
      <c r="R101" s="10" t="n">
        <v>120.5</v>
      </c>
      <c r="T101" s="10" t="n">
        <v>6</v>
      </c>
      <c r="U101" s="10" t="n">
        <v>0.2</v>
      </c>
      <c r="V101" s="10" t="n">
        <v>7.2</v>
      </c>
      <c r="W101" s="10" t="n">
        <v>5</v>
      </c>
      <c r="X101" s="10" t="n">
        <v>0.12</v>
      </c>
      <c r="Y101" s="10" t="n">
        <v>5.6</v>
      </c>
      <c r="Z101" s="10" t="n">
        <v>1542.4</v>
      </c>
    </row>
    <row r="102" customFormat="false" ht="13.5" hidden="false" customHeight="true" outlineLevel="0" collapsed="false">
      <c r="C102" s="10" t="s">
        <v>35</v>
      </c>
      <c r="D102" s="10" t="s">
        <v>254</v>
      </c>
      <c r="E102" s="10" t="s">
        <v>4</v>
      </c>
      <c r="F102" s="10" t="s">
        <v>1034</v>
      </c>
      <c r="G102" s="10" t="s">
        <v>68</v>
      </c>
      <c r="H102" s="10" t="s">
        <v>1218</v>
      </c>
      <c r="I102" s="10" t="s">
        <v>111</v>
      </c>
      <c r="J102" s="10" t="s">
        <v>1100</v>
      </c>
      <c r="P102" s="10" t="s">
        <v>49</v>
      </c>
      <c r="Q102" s="10" t="n">
        <v>207.312</v>
      </c>
      <c r="R102" s="10" t="n">
        <v>207.312</v>
      </c>
      <c r="T102" s="10" t="n">
        <v>0.12</v>
      </c>
      <c r="U102" s="10" t="n">
        <v>0.2</v>
      </c>
      <c r="V102" s="10" t="n">
        <v>0.144</v>
      </c>
      <c r="W102" s="10" t="n">
        <v>0.78</v>
      </c>
      <c r="X102" s="10" t="n">
        <v>0.12</v>
      </c>
      <c r="Y102" s="10" t="n">
        <v>0.8736</v>
      </c>
      <c r="Z102" s="10" t="n">
        <v>210.9606912</v>
      </c>
    </row>
    <row r="103" customFormat="false" ht="13.5" hidden="false" customHeight="true" outlineLevel="0" collapsed="false">
      <c r="C103" s="10" t="s">
        <v>35</v>
      </c>
      <c r="D103" s="10" t="s">
        <v>254</v>
      </c>
      <c r="E103" s="10" t="s">
        <v>4</v>
      </c>
      <c r="F103" s="10" t="s">
        <v>1034</v>
      </c>
      <c r="G103" s="10" t="s">
        <v>68</v>
      </c>
      <c r="H103" s="10" t="s">
        <v>1218</v>
      </c>
      <c r="I103" s="10" t="s">
        <v>111</v>
      </c>
      <c r="J103" s="10" t="s">
        <v>1101</v>
      </c>
      <c r="P103" s="10" t="s">
        <v>49</v>
      </c>
      <c r="Q103" s="10" t="n">
        <v>918.5472</v>
      </c>
      <c r="R103" s="10" t="n">
        <v>918.5472</v>
      </c>
      <c r="T103" s="10" t="n">
        <v>0.11</v>
      </c>
      <c r="U103" s="10" t="n">
        <v>0.2</v>
      </c>
      <c r="V103" s="10" t="n">
        <v>0.132</v>
      </c>
      <c r="W103" s="10" t="n">
        <v>0.76</v>
      </c>
      <c r="X103" s="10" t="n">
        <v>0.12</v>
      </c>
      <c r="Y103" s="10" t="n">
        <v>0.8512</v>
      </c>
      <c r="Z103" s="10" t="n">
        <v>903.11560704</v>
      </c>
    </row>
    <row r="104" customFormat="false" ht="13.5" hidden="false" customHeight="true" outlineLevel="0" collapsed="false">
      <c r="C104" s="10" t="s">
        <v>35</v>
      </c>
      <c r="D104" s="10" t="s">
        <v>254</v>
      </c>
      <c r="E104" s="10" t="s">
        <v>4</v>
      </c>
      <c r="F104" s="10" t="s">
        <v>1034</v>
      </c>
      <c r="G104" s="10" t="s">
        <v>68</v>
      </c>
      <c r="H104" s="10" t="s">
        <v>1218</v>
      </c>
      <c r="I104" s="10" t="s">
        <v>111</v>
      </c>
      <c r="J104" s="10" t="s">
        <v>1103</v>
      </c>
      <c r="P104" s="10" t="s">
        <v>49</v>
      </c>
      <c r="Q104" s="10" t="n">
        <v>1468.136</v>
      </c>
      <c r="R104" s="10" t="n">
        <v>1468.136</v>
      </c>
      <c r="T104" s="10" t="n">
        <v>0.1</v>
      </c>
      <c r="U104" s="10" t="n">
        <v>0.2</v>
      </c>
      <c r="V104" s="10" t="n">
        <v>0.12</v>
      </c>
      <c r="W104" s="10" t="n">
        <v>0.74</v>
      </c>
      <c r="X104" s="10" t="n">
        <v>0.12</v>
      </c>
      <c r="Y104" s="10" t="n">
        <v>0.8288</v>
      </c>
      <c r="Z104" s="10" t="n">
        <v>1392.9674368</v>
      </c>
    </row>
    <row r="105" customFormat="false" ht="13.5" hidden="false" customHeight="true" outlineLevel="0" collapsed="false">
      <c r="C105" s="10" t="s">
        <v>35</v>
      </c>
      <c r="D105" s="10" t="s">
        <v>254</v>
      </c>
      <c r="E105" s="10" t="s">
        <v>4</v>
      </c>
      <c r="F105" s="10" t="s">
        <v>1034</v>
      </c>
      <c r="G105" s="10" t="s">
        <v>68</v>
      </c>
      <c r="H105" s="10" t="s">
        <v>1218</v>
      </c>
      <c r="I105" s="10" t="s">
        <v>111</v>
      </c>
      <c r="J105" s="10" t="s">
        <v>1104</v>
      </c>
      <c r="P105" s="10" t="s">
        <v>49</v>
      </c>
      <c r="Q105" s="10" t="n">
        <v>727.168</v>
      </c>
      <c r="R105" s="10" t="n">
        <v>727.168</v>
      </c>
      <c r="T105" s="10" t="n">
        <v>0.09</v>
      </c>
      <c r="U105" s="10" t="n">
        <v>0.2</v>
      </c>
      <c r="V105" s="10" t="n">
        <v>0.108</v>
      </c>
      <c r="W105" s="10" t="n">
        <v>0.73</v>
      </c>
      <c r="X105" s="10" t="n">
        <v>0.12</v>
      </c>
      <c r="Y105" s="10" t="n">
        <v>0.8176</v>
      </c>
      <c r="Z105" s="10" t="n">
        <v>673.0667008</v>
      </c>
    </row>
    <row r="106" customFormat="false" ht="13.5" hidden="false" customHeight="true" outlineLevel="0" collapsed="false">
      <c r="C106" s="10" t="s">
        <v>35</v>
      </c>
      <c r="D106" s="10" t="s">
        <v>254</v>
      </c>
      <c r="E106" s="10" t="s">
        <v>4</v>
      </c>
      <c r="F106" s="10" t="s">
        <v>1034</v>
      </c>
      <c r="G106" s="10" t="s">
        <v>68</v>
      </c>
      <c r="H106" s="10" t="s">
        <v>1218</v>
      </c>
      <c r="I106" s="10" t="s">
        <v>1211</v>
      </c>
      <c r="J106" s="10" t="s">
        <v>1123</v>
      </c>
      <c r="P106" s="10" t="s">
        <v>49</v>
      </c>
      <c r="Q106" s="10" t="n">
        <v>132.846528</v>
      </c>
      <c r="R106" s="10" t="n">
        <v>132.846528</v>
      </c>
      <c r="T106" s="10" t="n">
        <v>0.05</v>
      </c>
      <c r="U106" s="10" t="n">
        <v>0.2</v>
      </c>
      <c r="V106" s="10" t="n">
        <v>0.06</v>
      </c>
      <c r="W106" s="10" t="n">
        <v>1.2</v>
      </c>
      <c r="X106" s="10" t="n">
        <v>0.12</v>
      </c>
      <c r="Y106" s="10" t="n">
        <v>1.344</v>
      </c>
      <c r="Z106" s="10" t="n">
        <v>186.516525312</v>
      </c>
    </row>
    <row r="107" customFormat="false" ht="13.5" hidden="false" customHeight="true" outlineLevel="0" collapsed="false">
      <c r="C107" s="10" t="s">
        <v>35</v>
      </c>
      <c r="D107" s="10" t="s">
        <v>254</v>
      </c>
      <c r="E107" s="10" t="s">
        <v>4</v>
      </c>
      <c r="F107" s="10" t="s">
        <v>1034</v>
      </c>
      <c r="G107" s="10" t="s">
        <v>68</v>
      </c>
      <c r="H107" s="10" t="s">
        <v>180</v>
      </c>
      <c r="I107" s="10" t="s">
        <v>110</v>
      </c>
      <c r="J107" s="10" t="s">
        <v>1109</v>
      </c>
      <c r="P107" s="10" t="s">
        <v>47</v>
      </c>
      <c r="Q107" s="10" t="n">
        <v>21.85344</v>
      </c>
      <c r="R107" s="10" t="n">
        <v>21.85344</v>
      </c>
      <c r="T107" s="10" t="n">
        <v>10</v>
      </c>
      <c r="U107" s="10" t="n">
        <v>0.2</v>
      </c>
      <c r="V107" s="10" t="n">
        <v>12</v>
      </c>
      <c r="W107" s="10" t="n">
        <v>98</v>
      </c>
      <c r="X107" s="10" t="n">
        <v>0.12</v>
      </c>
      <c r="Y107" s="10" t="n">
        <v>109.76</v>
      </c>
      <c r="Z107" s="10" t="n">
        <v>2660.8748544</v>
      </c>
    </row>
    <row r="108" customFormat="false" ht="13.5" hidden="false" customHeight="true" outlineLevel="0" collapsed="false">
      <c r="C108" s="10" t="s">
        <v>35</v>
      </c>
      <c r="D108" s="10" t="s">
        <v>254</v>
      </c>
      <c r="E108" s="10" t="s">
        <v>4</v>
      </c>
      <c r="F108" s="10" t="s">
        <v>1034</v>
      </c>
      <c r="G108" s="10" t="s">
        <v>68</v>
      </c>
      <c r="H108" s="10" t="s">
        <v>180</v>
      </c>
      <c r="I108" s="10" t="s">
        <v>153</v>
      </c>
      <c r="J108" s="10" t="s">
        <v>153</v>
      </c>
      <c r="P108" s="10" t="s">
        <v>45</v>
      </c>
      <c r="Q108" s="10" t="n">
        <v>327.8016</v>
      </c>
      <c r="R108" s="10" t="n">
        <v>327.8016</v>
      </c>
      <c r="T108" s="10" t="n">
        <v>6</v>
      </c>
      <c r="U108" s="10" t="n">
        <v>0.2</v>
      </c>
      <c r="V108" s="10" t="n">
        <v>7.2</v>
      </c>
      <c r="W108" s="10" t="n">
        <v>5</v>
      </c>
      <c r="X108" s="10" t="n">
        <v>0.12</v>
      </c>
      <c r="Y108" s="10" t="n">
        <v>5.6</v>
      </c>
      <c r="Z108" s="10" t="n">
        <v>4195.86048</v>
      </c>
    </row>
    <row r="109" customFormat="false" ht="13.5" hidden="false" customHeight="true" outlineLevel="0" collapsed="false">
      <c r="C109" s="10" t="s">
        <v>35</v>
      </c>
      <c r="D109" s="10" t="s">
        <v>254</v>
      </c>
      <c r="E109" s="10" t="s">
        <v>4</v>
      </c>
      <c r="F109" s="10" t="s">
        <v>1034</v>
      </c>
      <c r="G109" s="10" t="s">
        <v>68</v>
      </c>
      <c r="H109" s="10" t="s">
        <v>180</v>
      </c>
      <c r="I109" s="10" t="s">
        <v>111</v>
      </c>
      <c r="J109" s="10" t="s">
        <v>1117</v>
      </c>
      <c r="P109" s="10" t="s">
        <v>49</v>
      </c>
      <c r="Q109" s="10" t="n">
        <v>184.7622</v>
      </c>
      <c r="R109" s="10" t="n">
        <v>184.7622</v>
      </c>
      <c r="T109" s="10" t="n">
        <v>0.12</v>
      </c>
      <c r="U109" s="10" t="n">
        <v>0.2</v>
      </c>
      <c r="V109" s="10" t="n">
        <v>0.144</v>
      </c>
      <c r="W109" s="10" t="n">
        <v>0.77</v>
      </c>
      <c r="X109" s="10" t="n">
        <v>0.12</v>
      </c>
      <c r="Y109" s="10" t="n">
        <v>0.8624</v>
      </c>
      <c r="Z109" s="10" t="n">
        <v>185.94467808</v>
      </c>
    </row>
    <row r="110" customFormat="false" ht="13.5" hidden="false" customHeight="true" outlineLevel="0" collapsed="false">
      <c r="C110" s="10" t="s">
        <v>35</v>
      </c>
      <c r="D110" s="10" t="s">
        <v>254</v>
      </c>
      <c r="E110" s="10" t="s">
        <v>4</v>
      </c>
      <c r="F110" s="10" t="s">
        <v>1034</v>
      </c>
      <c r="G110" s="10" t="s">
        <v>68</v>
      </c>
      <c r="H110" s="10" t="s">
        <v>180</v>
      </c>
      <c r="I110" s="10" t="s">
        <v>111</v>
      </c>
      <c r="J110" s="10" t="s">
        <v>1100</v>
      </c>
      <c r="P110" s="10" t="s">
        <v>49</v>
      </c>
      <c r="Q110" s="10" t="n">
        <v>173.88</v>
      </c>
      <c r="R110" s="10" t="n">
        <v>173.88</v>
      </c>
      <c r="T110" s="10" t="n">
        <v>0.12</v>
      </c>
      <c r="U110" s="10" t="n">
        <v>0.2</v>
      </c>
      <c r="V110" s="10" t="n">
        <v>0.144</v>
      </c>
      <c r="W110" s="10" t="n">
        <v>0.78</v>
      </c>
      <c r="X110" s="10" t="n">
        <v>0.12</v>
      </c>
      <c r="Y110" s="10" t="n">
        <v>0.8736</v>
      </c>
      <c r="Z110" s="10" t="n">
        <v>176.940288</v>
      </c>
    </row>
    <row r="111" customFormat="false" ht="13.5" hidden="false" customHeight="true" outlineLevel="0" collapsed="false">
      <c r="C111" s="10" t="s">
        <v>35</v>
      </c>
      <c r="D111" s="10" t="s">
        <v>254</v>
      </c>
      <c r="E111" s="10" t="s">
        <v>4</v>
      </c>
      <c r="F111" s="10" t="s">
        <v>1034</v>
      </c>
      <c r="G111" s="10" t="s">
        <v>68</v>
      </c>
      <c r="H111" s="10" t="s">
        <v>180</v>
      </c>
      <c r="I111" s="10" t="s">
        <v>111</v>
      </c>
      <c r="J111" s="10" t="s">
        <v>1101</v>
      </c>
      <c r="P111" s="10" t="s">
        <v>49</v>
      </c>
      <c r="Q111" s="10" t="n">
        <v>2448.5328</v>
      </c>
      <c r="R111" s="10" t="n">
        <v>2448.5328</v>
      </c>
      <c r="T111" s="10" t="n">
        <v>0.11</v>
      </c>
      <c r="U111" s="10" t="n">
        <v>0.2</v>
      </c>
      <c r="V111" s="10" t="n">
        <v>0.132</v>
      </c>
      <c r="W111" s="10" t="n">
        <v>0.76</v>
      </c>
      <c r="X111" s="10" t="n">
        <v>0.12</v>
      </c>
      <c r="Y111" s="10" t="n">
        <v>0.8512</v>
      </c>
      <c r="Z111" s="10" t="n">
        <v>2407.39744896</v>
      </c>
    </row>
    <row r="112" customFormat="false" ht="13.5" hidden="false" customHeight="true" outlineLevel="0" collapsed="false">
      <c r="C112" s="10" t="s">
        <v>35</v>
      </c>
      <c r="D112" s="10" t="s">
        <v>254</v>
      </c>
      <c r="E112" s="10" t="s">
        <v>4</v>
      </c>
      <c r="F112" s="10" t="s">
        <v>1034</v>
      </c>
      <c r="G112" s="10" t="s">
        <v>68</v>
      </c>
      <c r="H112" s="10" t="s">
        <v>180</v>
      </c>
      <c r="I112" s="10" t="s">
        <v>111</v>
      </c>
      <c r="J112" s="10" t="s">
        <v>1103</v>
      </c>
      <c r="P112" s="10" t="s">
        <v>49</v>
      </c>
      <c r="Q112" s="10" t="n">
        <v>450.227232</v>
      </c>
      <c r="R112" s="10" t="n">
        <v>450.227232</v>
      </c>
      <c r="T112" s="10" t="n">
        <v>0.1</v>
      </c>
      <c r="U112" s="10" t="n">
        <v>0.2</v>
      </c>
      <c r="V112" s="10" t="n">
        <v>0.12</v>
      </c>
      <c r="W112" s="10" t="n">
        <v>0.74</v>
      </c>
      <c r="X112" s="10" t="n">
        <v>0.12</v>
      </c>
      <c r="Y112" s="10" t="n">
        <v>0.8288</v>
      </c>
      <c r="Z112" s="10" t="n">
        <v>427.1755977216</v>
      </c>
    </row>
    <row r="113" customFormat="false" ht="13.5" hidden="false" customHeight="true" outlineLevel="0" collapsed="false">
      <c r="C113" s="10" t="s">
        <v>35</v>
      </c>
      <c r="D113" s="10" t="s">
        <v>254</v>
      </c>
      <c r="E113" s="10" t="s">
        <v>4</v>
      </c>
      <c r="F113" s="10" t="s">
        <v>1034</v>
      </c>
      <c r="G113" s="10" t="s">
        <v>68</v>
      </c>
      <c r="H113" s="10" t="s">
        <v>180</v>
      </c>
      <c r="I113" s="10" t="s">
        <v>111</v>
      </c>
      <c r="J113" s="10" t="s">
        <v>1104</v>
      </c>
      <c r="P113" s="10" t="s">
        <v>49</v>
      </c>
      <c r="Q113" s="10" t="n">
        <v>213.68256</v>
      </c>
      <c r="R113" s="10" t="n">
        <v>213.68256</v>
      </c>
      <c r="T113" s="10" t="n">
        <v>0.09</v>
      </c>
      <c r="U113" s="10" t="n">
        <v>0.2</v>
      </c>
      <c r="V113" s="10" t="n">
        <v>0.108</v>
      </c>
      <c r="W113" s="10" t="n">
        <v>0.73</v>
      </c>
      <c r="X113" s="10" t="n">
        <v>0.12</v>
      </c>
      <c r="Y113" s="10" t="n">
        <v>0.8176</v>
      </c>
      <c r="Z113" s="10" t="n">
        <v>197.784577536</v>
      </c>
    </row>
    <row r="114" customFormat="false" ht="13.5" hidden="false" customHeight="true" outlineLevel="0" collapsed="false">
      <c r="C114" s="10" t="s">
        <v>35</v>
      </c>
      <c r="D114" s="10" t="s">
        <v>254</v>
      </c>
      <c r="E114" s="10" t="s">
        <v>4</v>
      </c>
      <c r="F114" s="10" t="s">
        <v>1034</v>
      </c>
      <c r="G114" s="10" t="s">
        <v>68</v>
      </c>
      <c r="H114" s="10" t="s">
        <v>180</v>
      </c>
      <c r="I114" s="10" t="s">
        <v>1211</v>
      </c>
      <c r="J114" s="10" t="s">
        <v>1123</v>
      </c>
      <c r="P114" s="10" t="s">
        <v>49</v>
      </c>
      <c r="Q114" s="10" t="n">
        <v>138.84339168</v>
      </c>
      <c r="R114" s="10" t="n">
        <v>138.84339168</v>
      </c>
      <c r="T114" s="10" t="n">
        <v>0.05</v>
      </c>
      <c r="U114" s="10" t="n">
        <v>0.2</v>
      </c>
      <c r="V114" s="10" t="n">
        <v>0.06</v>
      </c>
      <c r="W114" s="10" t="n">
        <v>1.2</v>
      </c>
      <c r="X114" s="10" t="n">
        <v>0.12</v>
      </c>
      <c r="Y114" s="10" t="n">
        <v>1.344</v>
      </c>
      <c r="Z114" s="10" t="n">
        <v>194.93612191872</v>
      </c>
    </row>
    <row r="115" customFormat="false" ht="13.5" hidden="false" customHeight="true" outlineLevel="0" collapsed="false">
      <c r="C115" s="10" t="s">
        <v>35</v>
      </c>
      <c r="D115" s="10" t="s">
        <v>254</v>
      </c>
      <c r="E115" s="10" t="s">
        <v>4</v>
      </c>
      <c r="F115" s="10" t="s">
        <v>1220</v>
      </c>
      <c r="G115" s="10" t="s">
        <v>68</v>
      </c>
      <c r="H115" s="10" t="s">
        <v>166</v>
      </c>
      <c r="I115" s="10" t="s">
        <v>110</v>
      </c>
      <c r="J115" s="10" t="s">
        <v>1109</v>
      </c>
      <c r="P115" s="10" t="s">
        <v>47</v>
      </c>
      <c r="Q115" s="10" t="n">
        <v>46.74115</v>
      </c>
      <c r="R115" s="10" t="n">
        <v>46.74115</v>
      </c>
      <c r="T115" s="10" t="n">
        <v>10</v>
      </c>
      <c r="U115" s="10" t="n">
        <v>0.2</v>
      </c>
      <c r="V115" s="10" t="n">
        <v>12</v>
      </c>
      <c r="W115" s="10" t="n">
        <v>98</v>
      </c>
      <c r="X115" s="10" t="n">
        <v>0.12</v>
      </c>
      <c r="Y115" s="10" t="n">
        <v>109.76</v>
      </c>
      <c r="Z115" s="10" t="n">
        <v>5691.202424</v>
      </c>
    </row>
    <row r="116" customFormat="false" ht="13.5" hidden="false" customHeight="true" outlineLevel="0" collapsed="false">
      <c r="C116" s="10" t="s">
        <v>35</v>
      </c>
      <c r="D116" s="10" t="s">
        <v>254</v>
      </c>
      <c r="E116" s="10" t="s">
        <v>4</v>
      </c>
      <c r="F116" s="10" t="s">
        <v>1220</v>
      </c>
      <c r="G116" s="10" t="s">
        <v>68</v>
      </c>
      <c r="H116" s="10" t="s">
        <v>166</v>
      </c>
      <c r="I116" s="10" t="s">
        <v>153</v>
      </c>
      <c r="J116" s="10" t="s">
        <v>153</v>
      </c>
      <c r="P116" s="10" t="s">
        <v>45</v>
      </c>
      <c r="Q116" s="10" t="n">
        <v>446.526</v>
      </c>
      <c r="R116" s="10" t="n">
        <v>446.526</v>
      </c>
      <c r="T116" s="10" t="n">
        <v>6</v>
      </c>
      <c r="U116" s="10" t="n">
        <v>0.2</v>
      </c>
      <c r="V116" s="10" t="n">
        <v>7.2</v>
      </c>
      <c r="W116" s="10" t="n">
        <v>5</v>
      </c>
      <c r="X116" s="10" t="n">
        <v>0.12</v>
      </c>
      <c r="Y116" s="10" t="n">
        <v>5.6</v>
      </c>
      <c r="Z116" s="10" t="n">
        <v>5715.5328</v>
      </c>
    </row>
    <row r="117" customFormat="false" ht="13.5" hidden="false" customHeight="true" outlineLevel="0" collapsed="false">
      <c r="C117" s="10" t="s">
        <v>35</v>
      </c>
      <c r="D117" s="10" t="s">
        <v>254</v>
      </c>
      <c r="E117" s="10" t="s">
        <v>4</v>
      </c>
      <c r="F117" s="10" t="s">
        <v>1220</v>
      </c>
      <c r="G117" s="10" t="s">
        <v>68</v>
      </c>
      <c r="H117" s="10" t="s">
        <v>166</v>
      </c>
      <c r="I117" s="10" t="s">
        <v>111</v>
      </c>
      <c r="J117" s="10" t="s">
        <v>1117</v>
      </c>
      <c r="P117" s="10" t="s">
        <v>49</v>
      </c>
      <c r="Q117" s="10" t="n">
        <v>624.1948</v>
      </c>
      <c r="R117" s="10" t="n">
        <v>624.1948</v>
      </c>
      <c r="T117" s="10" t="n">
        <v>0.12</v>
      </c>
      <c r="U117" s="10" t="n">
        <v>0.2</v>
      </c>
      <c r="V117" s="10" t="n">
        <v>0.144</v>
      </c>
      <c r="W117" s="10" t="n">
        <v>0.77</v>
      </c>
      <c r="X117" s="10" t="n">
        <v>0.12</v>
      </c>
      <c r="Y117" s="10" t="n">
        <v>0.8624</v>
      </c>
      <c r="Z117" s="10" t="n">
        <v>628.18964672</v>
      </c>
    </row>
    <row r="118" customFormat="false" ht="13.5" hidden="false" customHeight="true" outlineLevel="0" collapsed="false">
      <c r="C118" s="10" t="s">
        <v>35</v>
      </c>
      <c r="D118" s="10" t="s">
        <v>254</v>
      </c>
      <c r="E118" s="10" t="s">
        <v>4</v>
      </c>
      <c r="F118" s="10" t="s">
        <v>1220</v>
      </c>
      <c r="G118" s="10" t="s">
        <v>68</v>
      </c>
      <c r="H118" s="10" t="s">
        <v>166</v>
      </c>
      <c r="I118" s="10" t="s">
        <v>111</v>
      </c>
      <c r="J118" s="10" t="s">
        <v>1100</v>
      </c>
      <c r="P118" s="10" t="s">
        <v>49</v>
      </c>
      <c r="Q118" s="10" t="n">
        <v>2823.61142</v>
      </c>
      <c r="R118" s="10" t="n">
        <v>2823.61142</v>
      </c>
      <c r="T118" s="10" t="n">
        <v>0.12</v>
      </c>
      <c r="U118" s="10" t="n">
        <v>0.2</v>
      </c>
      <c r="V118" s="10" t="n">
        <v>0.144</v>
      </c>
      <c r="W118" s="10" t="n">
        <v>0.78</v>
      </c>
      <c r="X118" s="10" t="n">
        <v>0.12</v>
      </c>
      <c r="Y118" s="10" t="n">
        <v>0.8736</v>
      </c>
      <c r="Z118" s="10" t="n">
        <v>2873.306980992</v>
      </c>
    </row>
    <row r="119" customFormat="false" ht="13.5" hidden="false" customHeight="true" outlineLevel="0" collapsed="false">
      <c r="C119" s="10" t="s">
        <v>35</v>
      </c>
      <c r="D119" s="10" t="s">
        <v>254</v>
      </c>
      <c r="E119" s="10" t="s">
        <v>4</v>
      </c>
      <c r="F119" s="10" t="s">
        <v>1220</v>
      </c>
      <c r="G119" s="10" t="s">
        <v>68</v>
      </c>
      <c r="H119" s="10" t="s">
        <v>166</v>
      </c>
      <c r="I119" s="10" t="s">
        <v>111</v>
      </c>
      <c r="J119" s="10" t="s">
        <v>1101</v>
      </c>
      <c r="P119" s="10" t="s">
        <v>49</v>
      </c>
      <c r="Q119" s="10" t="n">
        <v>295.33104</v>
      </c>
      <c r="R119" s="10" t="n">
        <v>295.33104</v>
      </c>
      <c r="T119" s="10" t="n">
        <v>0.11</v>
      </c>
      <c r="U119" s="10" t="n">
        <v>0.2</v>
      </c>
      <c r="V119" s="10" t="n">
        <v>0.132</v>
      </c>
      <c r="W119" s="10" t="n">
        <v>0.76</v>
      </c>
      <c r="X119" s="10" t="n">
        <v>0.12</v>
      </c>
      <c r="Y119" s="10" t="n">
        <v>0.8512</v>
      </c>
      <c r="Z119" s="10" t="n">
        <v>290.369478528</v>
      </c>
    </row>
    <row r="120" customFormat="false" ht="13.5" hidden="false" customHeight="true" outlineLevel="0" collapsed="false">
      <c r="C120" s="10" t="s">
        <v>35</v>
      </c>
      <c r="D120" s="10" t="s">
        <v>254</v>
      </c>
      <c r="E120" s="10" t="s">
        <v>4</v>
      </c>
      <c r="F120" s="10" t="s">
        <v>1220</v>
      </c>
      <c r="G120" s="10" t="s">
        <v>68</v>
      </c>
      <c r="H120" s="10" t="s">
        <v>166</v>
      </c>
      <c r="I120" s="10" t="s">
        <v>111</v>
      </c>
      <c r="J120" s="10" t="s">
        <v>1103</v>
      </c>
      <c r="P120" s="10" t="s">
        <v>49</v>
      </c>
      <c r="Q120" s="10" t="n">
        <v>2411.8152</v>
      </c>
      <c r="R120" s="10" t="n">
        <v>2411.8152</v>
      </c>
      <c r="T120" s="10" t="n">
        <v>0.1</v>
      </c>
      <c r="U120" s="10" t="n">
        <v>0.2</v>
      </c>
      <c r="V120" s="10" t="n">
        <v>0.12</v>
      </c>
      <c r="W120" s="10" t="n">
        <v>0.74</v>
      </c>
      <c r="X120" s="10" t="n">
        <v>0.12</v>
      </c>
      <c r="Y120" s="10" t="n">
        <v>0.8288</v>
      </c>
      <c r="Z120" s="10" t="n">
        <v>2288.33026176</v>
      </c>
    </row>
    <row r="121" customFormat="false" ht="13.5" hidden="false" customHeight="true" outlineLevel="0" collapsed="false">
      <c r="C121" s="10" t="s">
        <v>35</v>
      </c>
      <c r="D121" s="10" t="s">
        <v>254</v>
      </c>
      <c r="E121" s="10" t="s">
        <v>4</v>
      </c>
      <c r="F121" s="10" t="s">
        <v>1220</v>
      </c>
      <c r="G121" s="10" t="s">
        <v>68</v>
      </c>
      <c r="H121" s="10" t="s">
        <v>166</v>
      </c>
      <c r="I121" s="10" t="s">
        <v>111</v>
      </c>
      <c r="J121" s="10" t="s">
        <v>1104</v>
      </c>
      <c r="P121" s="10" t="s">
        <v>49</v>
      </c>
      <c r="Q121" s="10" t="n">
        <v>1819.6614</v>
      </c>
      <c r="R121" s="10" t="n">
        <v>1819.6614</v>
      </c>
      <c r="T121" s="10" t="n">
        <v>0.09</v>
      </c>
      <c r="U121" s="10" t="n">
        <v>0.2</v>
      </c>
      <c r="V121" s="10" t="n">
        <v>0.108</v>
      </c>
      <c r="W121" s="10" t="n">
        <v>0.73</v>
      </c>
      <c r="X121" s="10" t="n">
        <v>0.12</v>
      </c>
      <c r="Y121" s="10" t="n">
        <v>0.8176</v>
      </c>
      <c r="Z121" s="10" t="n">
        <v>1684.27859184</v>
      </c>
    </row>
    <row r="122" customFormat="false" ht="13.5" hidden="false" customHeight="true" outlineLevel="0" collapsed="false">
      <c r="C122" s="10" t="s">
        <v>35</v>
      </c>
      <c r="D122" s="10" t="s">
        <v>254</v>
      </c>
      <c r="E122" s="10" t="s">
        <v>4</v>
      </c>
      <c r="F122" s="10" t="s">
        <v>1220</v>
      </c>
      <c r="G122" s="10" t="s">
        <v>68</v>
      </c>
      <c r="H122" s="10" t="s">
        <v>166</v>
      </c>
      <c r="I122" s="10" t="s">
        <v>111</v>
      </c>
      <c r="J122" s="10" t="s">
        <v>1105</v>
      </c>
      <c r="P122" s="10" t="s">
        <v>49</v>
      </c>
      <c r="Q122" s="10" t="n">
        <v>7527.2208</v>
      </c>
      <c r="R122" s="10" t="n">
        <v>7527.2208</v>
      </c>
      <c r="T122" s="10" t="n">
        <v>0.08</v>
      </c>
      <c r="U122" s="10" t="n">
        <v>0.2</v>
      </c>
      <c r="V122" s="10" t="n">
        <v>0.096</v>
      </c>
      <c r="W122" s="10" t="n">
        <v>0.72</v>
      </c>
      <c r="X122" s="10" t="n">
        <v>0.12</v>
      </c>
      <c r="Y122" s="10" t="n">
        <v>0.8064</v>
      </c>
      <c r="Z122" s="10" t="n">
        <v>6792.56404992</v>
      </c>
    </row>
    <row r="123" customFormat="false" ht="13.5" hidden="false" customHeight="true" outlineLevel="0" collapsed="false">
      <c r="C123" s="10" t="s">
        <v>35</v>
      </c>
      <c r="D123" s="10" t="s">
        <v>254</v>
      </c>
      <c r="E123" s="10" t="s">
        <v>4</v>
      </c>
      <c r="F123" s="10" t="s">
        <v>1220</v>
      </c>
      <c r="G123" s="10" t="s">
        <v>68</v>
      </c>
      <c r="H123" s="10" t="s">
        <v>166</v>
      </c>
      <c r="I123" s="10" t="s">
        <v>1211</v>
      </c>
      <c r="J123" s="10" t="s">
        <v>1123</v>
      </c>
      <c r="P123" s="10" t="s">
        <v>49</v>
      </c>
      <c r="Q123" s="10" t="n">
        <v>620.0733864</v>
      </c>
      <c r="R123" s="10" t="n">
        <v>620.0733864</v>
      </c>
      <c r="T123" s="10" t="n">
        <v>0.05</v>
      </c>
      <c r="U123" s="10" t="n">
        <v>0.2</v>
      </c>
      <c r="V123" s="10" t="n">
        <v>0.06</v>
      </c>
      <c r="W123" s="10" t="n">
        <v>1.2</v>
      </c>
      <c r="X123" s="10" t="n">
        <v>0.12</v>
      </c>
      <c r="Y123" s="10" t="n">
        <v>1.344</v>
      </c>
      <c r="Z123" s="10" t="n">
        <v>870.5830345056</v>
      </c>
    </row>
    <row r="124" customFormat="false" ht="13.5" hidden="false" customHeight="true" outlineLevel="0" collapsed="false">
      <c r="C124" s="10" t="s">
        <v>35</v>
      </c>
      <c r="D124" s="10" t="s">
        <v>254</v>
      </c>
      <c r="E124" s="10" t="s">
        <v>4</v>
      </c>
      <c r="F124" s="10" t="s">
        <v>1220</v>
      </c>
      <c r="G124" s="10" t="s">
        <v>68</v>
      </c>
      <c r="H124" s="10" t="s">
        <v>170</v>
      </c>
      <c r="I124" s="10" t="s">
        <v>110</v>
      </c>
      <c r="J124" s="10" t="s">
        <v>1109</v>
      </c>
      <c r="P124" s="10" t="s">
        <v>47</v>
      </c>
      <c r="Q124" s="10" t="n">
        <v>87.15</v>
      </c>
      <c r="R124" s="10" t="n">
        <v>87.15</v>
      </c>
      <c r="T124" s="10" t="n">
        <v>10</v>
      </c>
      <c r="U124" s="10" t="n">
        <v>0.2</v>
      </c>
      <c r="V124" s="10" t="n">
        <v>12</v>
      </c>
      <c r="W124" s="10" t="n">
        <v>98</v>
      </c>
      <c r="X124" s="10" t="n">
        <v>0.12</v>
      </c>
      <c r="Y124" s="10" t="n">
        <v>109.76</v>
      </c>
      <c r="Z124" s="10" t="n">
        <v>10611.384</v>
      </c>
    </row>
    <row r="125" customFormat="false" ht="13.5" hidden="false" customHeight="true" outlineLevel="0" collapsed="false">
      <c r="C125" s="10" t="s">
        <v>35</v>
      </c>
      <c r="D125" s="10" t="s">
        <v>254</v>
      </c>
      <c r="E125" s="10" t="s">
        <v>4</v>
      </c>
      <c r="F125" s="10" t="s">
        <v>1220</v>
      </c>
      <c r="G125" s="10" t="s">
        <v>68</v>
      </c>
      <c r="H125" s="10" t="s">
        <v>170</v>
      </c>
      <c r="I125" s="10" t="s">
        <v>153</v>
      </c>
      <c r="J125" s="10" t="s">
        <v>153</v>
      </c>
      <c r="P125" s="10" t="s">
        <v>45</v>
      </c>
      <c r="Q125" s="10" t="n">
        <v>581</v>
      </c>
      <c r="R125" s="10" t="n">
        <v>581</v>
      </c>
      <c r="T125" s="10" t="n">
        <v>6</v>
      </c>
      <c r="U125" s="10" t="n">
        <v>0.2</v>
      </c>
      <c r="V125" s="10" t="n">
        <v>7.2</v>
      </c>
      <c r="W125" s="10" t="n">
        <v>5</v>
      </c>
      <c r="X125" s="10" t="n">
        <v>0.12</v>
      </c>
      <c r="Y125" s="10" t="n">
        <v>5.6</v>
      </c>
      <c r="Z125" s="10" t="n">
        <v>7436.8</v>
      </c>
    </row>
    <row r="126" customFormat="false" ht="13.5" hidden="false" customHeight="true" outlineLevel="0" collapsed="false">
      <c r="C126" s="10" t="s">
        <v>35</v>
      </c>
      <c r="D126" s="10" t="s">
        <v>254</v>
      </c>
      <c r="E126" s="10" t="s">
        <v>4</v>
      </c>
      <c r="F126" s="10" t="s">
        <v>1220</v>
      </c>
      <c r="G126" s="10" t="s">
        <v>68</v>
      </c>
      <c r="H126" s="10" t="s">
        <v>170</v>
      </c>
      <c r="I126" s="10" t="s">
        <v>111</v>
      </c>
      <c r="J126" s="10" t="s">
        <v>1100</v>
      </c>
      <c r="P126" s="10" t="s">
        <v>49</v>
      </c>
      <c r="Q126" s="10" t="n">
        <v>11514.5</v>
      </c>
      <c r="R126" s="10" t="n">
        <v>11514.5</v>
      </c>
      <c r="T126" s="10" t="n">
        <v>0.12</v>
      </c>
      <c r="U126" s="10" t="n">
        <v>0.2</v>
      </c>
      <c r="V126" s="10" t="n">
        <v>0.144</v>
      </c>
      <c r="W126" s="10" t="n">
        <v>0.78</v>
      </c>
      <c r="X126" s="10" t="n">
        <v>0.12</v>
      </c>
      <c r="Y126" s="10" t="n">
        <v>0.8736</v>
      </c>
      <c r="Z126" s="10" t="n">
        <v>11717.1552</v>
      </c>
    </row>
    <row r="127" customFormat="false" ht="13.5" hidden="false" customHeight="true" outlineLevel="0" collapsed="false">
      <c r="C127" s="10" t="s">
        <v>35</v>
      </c>
      <c r="D127" s="10" t="s">
        <v>254</v>
      </c>
      <c r="E127" s="10" t="s">
        <v>4</v>
      </c>
      <c r="F127" s="10" t="s">
        <v>1220</v>
      </c>
      <c r="G127" s="10" t="s">
        <v>68</v>
      </c>
      <c r="H127" s="10" t="s">
        <v>170</v>
      </c>
      <c r="I127" s="10" t="s">
        <v>111</v>
      </c>
      <c r="J127" s="10" t="s">
        <v>1101</v>
      </c>
      <c r="P127" s="10" t="s">
        <v>49</v>
      </c>
      <c r="Q127" s="10" t="n">
        <v>166.5</v>
      </c>
      <c r="R127" s="10" t="n">
        <v>166.5</v>
      </c>
      <c r="T127" s="10" t="n">
        <v>0.11</v>
      </c>
      <c r="U127" s="10" t="n">
        <v>0.2</v>
      </c>
      <c r="V127" s="10" t="n">
        <v>0.132</v>
      </c>
      <c r="W127" s="10" t="n">
        <v>0.76</v>
      </c>
      <c r="X127" s="10" t="n">
        <v>0.12</v>
      </c>
      <c r="Y127" s="10" t="n">
        <v>0.8512</v>
      </c>
      <c r="Z127" s="10" t="n">
        <v>163.7028</v>
      </c>
    </row>
    <row r="128" customFormat="false" ht="13.5" hidden="false" customHeight="true" outlineLevel="0" collapsed="false">
      <c r="C128" s="10" t="s">
        <v>35</v>
      </c>
      <c r="D128" s="10" t="s">
        <v>254</v>
      </c>
      <c r="E128" s="10" t="s">
        <v>4</v>
      </c>
      <c r="F128" s="10" t="s">
        <v>1220</v>
      </c>
      <c r="G128" s="10" t="s">
        <v>68</v>
      </c>
      <c r="H128" s="10" t="s">
        <v>170</v>
      </c>
      <c r="I128" s="10" t="s">
        <v>1211</v>
      </c>
      <c r="J128" s="10" t="s">
        <v>1123</v>
      </c>
      <c r="P128" s="10" t="s">
        <v>49</v>
      </c>
      <c r="Q128" s="10" t="n">
        <v>467.24</v>
      </c>
      <c r="R128" s="10" t="n">
        <v>467.24</v>
      </c>
      <c r="T128" s="10" t="n">
        <v>0.05</v>
      </c>
      <c r="U128" s="10" t="n">
        <v>0.2</v>
      </c>
      <c r="V128" s="10" t="n">
        <v>0.06</v>
      </c>
      <c r="W128" s="10" t="n">
        <v>1.2</v>
      </c>
      <c r="X128" s="10" t="n">
        <v>0.12</v>
      </c>
      <c r="Y128" s="10" t="n">
        <v>1.344</v>
      </c>
      <c r="Z128" s="10" t="n">
        <v>656.00496</v>
      </c>
    </row>
    <row r="129" customFormat="false" ht="13.5" hidden="false" customHeight="true" outlineLevel="0" collapsed="false">
      <c r="C129" s="10" t="s">
        <v>35</v>
      </c>
      <c r="D129" s="10" t="s">
        <v>254</v>
      </c>
      <c r="E129" s="10" t="s">
        <v>4</v>
      </c>
      <c r="F129" s="10" t="s">
        <v>1220</v>
      </c>
      <c r="G129" s="10" t="s">
        <v>68</v>
      </c>
      <c r="H129" s="10" t="s">
        <v>1218</v>
      </c>
      <c r="I129" s="10" t="s">
        <v>110</v>
      </c>
      <c r="J129" s="10" t="s">
        <v>1109</v>
      </c>
      <c r="P129" s="10" t="s">
        <v>47</v>
      </c>
      <c r="Q129" s="10" t="n">
        <v>23.43</v>
      </c>
      <c r="R129" s="10" t="n">
        <v>23.43</v>
      </c>
      <c r="T129" s="10" t="n">
        <v>10</v>
      </c>
      <c r="U129" s="10" t="n">
        <v>0.2</v>
      </c>
      <c r="V129" s="10" t="n">
        <v>12</v>
      </c>
      <c r="W129" s="10" t="n">
        <v>98</v>
      </c>
      <c r="X129" s="10" t="n">
        <v>0.12</v>
      </c>
      <c r="Y129" s="10" t="n">
        <v>109.76</v>
      </c>
      <c r="Z129" s="10" t="n">
        <v>2852.8368</v>
      </c>
    </row>
    <row r="130" customFormat="false" ht="13.5" hidden="false" customHeight="true" outlineLevel="0" collapsed="false">
      <c r="C130" s="10" t="s">
        <v>35</v>
      </c>
      <c r="D130" s="10" t="s">
        <v>254</v>
      </c>
      <c r="E130" s="10" t="s">
        <v>4</v>
      </c>
      <c r="F130" s="10" t="s">
        <v>1220</v>
      </c>
      <c r="G130" s="10" t="s">
        <v>68</v>
      </c>
      <c r="H130" s="10" t="s">
        <v>1218</v>
      </c>
      <c r="I130" s="10" t="s">
        <v>153</v>
      </c>
      <c r="J130" s="10" t="s">
        <v>153</v>
      </c>
      <c r="P130" s="10" t="s">
        <v>45</v>
      </c>
      <c r="Q130" s="10" t="n">
        <v>139.7</v>
      </c>
      <c r="R130" s="10" t="n">
        <v>139.7</v>
      </c>
      <c r="T130" s="10" t="n">
        <v>6</v>
      </c>
      <c r="U130" s="10" t="n">
        <v>0.2</v>
      </c>
      <c r="V130" s="10" t="n">
        <v>7.2</v>
      </c>
      <c r="W130" s="10" t="n">
        <v>5</v>
      </c>
      <c r="X130" s="10" t="n">
        <v>0.12</v>
      </c>
      <c r="Y130" s="10" t="n">
        <v>5.6</v>
      </c>
      <c r="Z130" s="10" t="n">
        <v>1788.16</v>
      </c>
    </row>
    <row r="131" customFormat="false" ht="13.5" hidden="false" customHeight="true" outlineLevel="0" collapsed="false">
      <c r="C131" s="10" t="s">
        <v>35</v>
      </c>
      <c r="D131" s="10" t="s">
        <v>254</v>
      </c>
      <c r="E131" s="10" t="s">
        <v>4</v>
      </c>
      <c r="F131" s="10" t="s">
        <v>1220</v>
      </c>
      <c r="G131" s="10" t="s">
        <v>68</v>
      </c>
      <c r="H131" s="10" t="s">
        <v>1218</v>
      </c>
      <c r="I131" s="10" t="s">
        <v>111</v>
      </c>
      <c r="J131" s="10" t="s">
        <v>1100</v>
      </c>
      <c r="P131" s="10" t="s">
        <v>49</v>
      </c>
      <c r="Q131" s="10" t="n">
        <v>241.864</v>
      </c>
      <c r="R131" s="10" t="n">
        <v>241.864</v>
      </c>
      <c r="T131" s="10" t="n">
        <v>0.12</v>
      </c>
      <c r="U131" s="10" t="n">
        <v>0.2</v>
      </c>
      <c r="V131" s="10" t="n">
        <v>0.144</v>
      </c>
      <c r="W131" s="10" t="n">
        <v>0.78</v>
      </c>
      <c r="X131" s="10" t="n">
        <v>0.12</v>
      </c>
      <c r="Y131" s="10" t="n">
        <v>0.8736</v>
      </c>
      <c r="Z131" s="10" t="n">
        <v>246.1208064</v>
      </c>
    </row>
    <row r="132" customFormat="false" ht="13.5" hidden="false" customHeight="true" outlineLevel="0" collapsed="false">
      <c r="C132" s="10" t="s">
        <v>35</v>
      </c>
      <c r="D132" s="10" t="s">
        <v>254</v>
      </c>
      <c r="E132" s="10" t="s">
        <v>4</v>
      </c>
      <c r="F132" s="10" t="s">
        <v>1220</v>
      </c>
      <c r="G132" s="10" t="s">
        <v>68</v>
      </c>
      <c r="H132" s="10" t="s">
        <v>1218</v>
      </c>
      <c r="I132" s="10" t="s">
        <v>111</v>
      </c>
      <c r="J132" s="10" t="s">
        <v>1101</v>
      </c>
      <c r="P132" s="10" t="s">
        <v>49</v>
      </c>
      <c r="Q132" s="10" t="n">
        <v>1071.6384</v>
      </c>
      <c r="R132" s="10" t="n">
        <v>1071.6384</v>
      </c>
      <c r="T132" s="10" t="n">
        <v>0.11</v>
      </c>
      <c r="U132" s="10" t="n">
        <v>0.2</v>
      </c>
      <c r="V132" s="10" t="n">
        <v>0.132</v>
      </c>
      <c r="W132" s="10" t="n">
        <v>0.76</v>
      </c>
      <c r="X132" s="10" t="n">
        <v>0.12</v>
      </c>
      <c r="Y132" s="10" t="n">
        <v>0.8512</v>
      </c>
      <c r="Z132" s="10" t="n">
        <v>1053.63487488</v>
      </c>
    </row>
    <row r="133" customFormat="false" ht="13.5" hidden="false" customHeight="true" outlineLevel="0" collapsed="false">
      <c r="C133" s="10" t="s">
        <v>35</v>
      </c>
      <c r="D133" s="10" t="s">
        <v>254</v>
      </c>
      <c r="E133" s="10" t="s">
        <v>4</v>
      </c>
      <c r="F133" s="10" t="s">
        <v>1220</v>
      </c>
      <c r="G133" s="10" t="s">
        <v>68</v>
      </c>
      <c r="H133" s="10" t="s">
        <v>1218</v>
      </c>
      <c r="I133" s="10" t="s">
        <v>111</v>
      </c>
      <c r="J133" s="10" t="s">
        <v>1103</v>
      </c>
      <c r="P133" s="10" t="s">
        <v>49</v>
      </c>
      <c r="Q133" s="10" t="n">
        <v>1659.632</v>
      </c>
      <c r="R133" s="10" t="n">
        <v>1659.632</v>
      </c>
      <c r="T133" s="10" t="n">
        <v>0.1</v>
      </c>
      <c r="U133" s="10" t="n">
        <v>0.2</v>
      </c>
      <c r="V133" s="10" t="n">
        <v>0.12</v>
      </c>
      <c r="W133" s="10" t="n">
        <v>0.74</v>
      </c>
      <c r="X133" s="10" t="n">
        <v>0.12</v>
      </c>
      <c r="Y133" s="10" t="n">
        <v>0.8288</v>
      </c>
      <c r="Z133" s="10" t="n">
        <v>1574.6588416</v>
      </c>
    </row>
    <row r="134" customFormat="false" ht="13.5" hidden="false" customHeight="true" outlineLevel="0" collapsed="false">
      <c r="C134" s="10" t="s">
        <v>35</v>
      </c>
      <c r="D134" s="10" t="s">
        <v>254</v>
      </c>
      <c r="E134" s="10" t="s">
        <v>4</v>
      </c>
      <c r="F134" s="10" t="s">
        <v>1220</v>
      </c>
      <c r="G134" s="10" t="s">
        <v>68</v>
      </c>
      <c r="H134" s="10" t="s">
        <v>1218</v>
      </c>
      <c r="I134" s="10" t="s">
        <v>111</v>
      </c>
      <c r="J134" s="10" t="s">
        <v>1104</v>
      </c>
      <c r="P134" s="10" t="s">
        <v>49</v>
      </c>
      <c r="Q134" s="10" t="n">
        <v>822.016</v>
      </c>
      <c r="R134" s="10" t="n">
        <v>822.016</v>
      </c>
      <c r="T134" s="10" t="n">
        <v>0.09</v>
      </c>
      <c r="U134" s="10" t="n">
        <v>0.2</v>
      </c>
      <c r="V134" s="10" t="n">
        <v>0.108</v>
      </c>
      <c r="W134" s="10" t="n">
        <v>0.73</v>
      </c>
      <c r="X134" s="10" t="n">
        <v>0.12</v>
      </c>
      <c r="Y134" s="10" t="n">
        <v>0.8176</v>
      </c>
      <c r="Z134" s="10" t="n">
        <v>760.8580096</v>
      </c>
    </row>
    <row r="135" customFormat="false" ht="13.5" hidden="false" customHeight="true" outlineLevel="0" collapsed="false">
      <c r="C135" s="10" t="s">
        <v>35</v>
      </c>
      <c r="D135" s="10" t="s">
        <v>254</v>
      </c>
      <c r="E135" s="10" t="s">
        <v>4</v>
      </c>
      <c r="F135" s="10" t="s">
        <v>1220</v>
      </c>
      <c r="G135" s="10" t="s">
        <v>68</v>
      </c>
      <c r="H135" s="10" t="s">
        <v>1218</v>
      </c>
      <c r="I135" s="10" t="s">
        <v>1211</v>
      </c>
      <c r="J135" s="10" t="s">
        <v>1123</v>
      </c>
      <c r="P135" s="10" t="s">
        <v>49</v>
      </c>
      <c r="Q135" s="10" t="n">
        <v>151.806016</v>
      </c>
      <c r="R135" s="10" t="n">
        <v>151.806016</v>
      </c>
      <c r="T135" s="10" t="n">
        <v>0.05</v>
      </c>
      <c r="U135" s="10" t="n">
        <v>0.2</v>
      </c>
      <c r="V135" s="10" t="n">
        <v>0.06</v>
      </c>
      <c r="W135" s="10" t="n">
        <v>1.2</v>
      </c>
      <c r="X135" s="10" t="n">
        <v>0.12</v>
      </c>
      <c r="Y135" s="10" t="n">
        <v>1.344</v>
      </c>
      <c r="Z135" s="10" t="n">
        <v>213.135646464</v>
      </c>
    </row>
    <row r="136" customFormat="false" ht="13.5" hidden="false" customHeight="true" outlineLevel="0" collapsed="false">
      <c r="C136" s="10" t="s">
        <v>35</v>
      </c>
      <c r="D136" s="10" t="s">
        <v>254</v>
      </c>
      <c r="E136" s="10" t="s">
        <v>4</v>
      </c>
      <c r="F136" s="10" t="s">
        <v>1220</v>
      </c>
      <c r="G136" s="10" t="s">
        <v>68</v>
      </c>
      <c r="H136" s="10" t="s">
        <v>180</v>
      </c>
      <c r="I136" s="10" t="s">
        <v>110</v>
      </c>
      <c r="J136" s="10" t="s">
        <v>1109</v>
      </c>
      <c r="P136" s="10" t="s">
        <v>47</v>
      </c>
      <c r="Q136" s="10" t="n">
        <v>5.016</v>
      </c>
      <c r="R136" s="10" t="n">
        <v>5.016</v>
      </c>
      <c r="T136" s="10" t="n">
        <v>10</v>
      </c>
      <c r="U136" s="10" t="n">
        <v>0.2</v>
      </c>
      <c r="V136" s="10" t="n">
        <v>12</v>
      </c>
      <c r="W136" s="10" t="n">
        <v>98</v>
      </c>
      <c r="X136" s="10" t="n">
        <v>0.12</v>
      </c>
      <c r="Y136" s="10" t="n">
        <v>109.76</v>
      </c>
      <c r="Z136" s="10" t="n">
        <v>610.74816</v>
      </c>
    </row>
    <row r="137" customFormat="false" ht="13.5" hidden="false" customHeight="true" outlineLevel="0" collapsed="false">
      <c r="C137" s="10" t="s">
        <v>35</v>
      </c>
      <c r="D137" s="10" t="s">
        <v>254</v>
      </c>
      <c r="E137" s="10" t="s">
        <v>4</v>
      </c>
      <c r="F137" s="10" t="s">
        <v>1220</v>
      </c>
      <c r="G137" s="10" t="s">
        <v>68</v>
      </c>
      <c r="H137" s="10" t="s">
        <v>180</v>
      </c>
      <c r="I137" s="10" t="s">
        <v>153</v>
      </c>
      <c r="J137" s="10" t="s">
        <v>153</v>
      </c>
      <c r="P137" s="10" t="s">
        <v>45</v>
      </c>
      <c r="Q137" s="10" t="n">
        <v>75.24</v>
      </c>
      <c r="R137" s="10" t="n">
        <v>75.24</v>
      </c>
      <c r="T137" s="10" t="n">
        <v>6</v>
      </c>
      <c r="U137" s="10" t="n">
        <v>0.2</v>
      </c>
      <c r="V137" s="10" t="n">
        <v>7.2</v>
      </c>
      <c r="W137" s="10" t="n">
        <v>5</v>
      </c>
      <c r="X137" s="10" t="n">
        <v>0.12</v>
      </c>
      <c r="Y137" s="10" t="n">
        <v>5.6</v>
      </c>
      <c r="Z137" s="10" t="n">
        <v>963.072</v>
      </c>
    </row>
    <row r="138" customFormat="false" ht="13.5" hidden="false" customHeight="true" outlineLevel="0" collapsed="false">
      <c r="C138" s="10" t="s">
        <v>35</v>
      </c>
      <c r="D138" s="10" t="s">
        <v>254</v>
      </c>
      <c r="E138" s="10" t="s">
        <v>4</v>
      </c>
      <c r="F138" s="10" t="s">
        <v>1220</v>
      </c>
      <c r="G138" s="10" t="s">
        <v>68</v>
      </c>
      <c r="H138" s="10" t="s">
        <v>180</v>
      </c>
      <c r="I138" s="10" t="s">
        <v>111</v>
      </c>
      <c r="J138" s="10" t="s">
        <v>1117</v>
      </c>
      <c r="P138" s="10" t="s">
        <v>49</v>
      </c>
      <c r="Q138" s="10" t="n">
        <v>50.16</v>
      </c>
      <c r="R138" s="10" t="n">
        <v>50.16</v>
      </c>
      <c r="T138" s="10" t="n">
        <v>0.12</v>
      </c>
      <c r="U138" s="10" t="n">
        <v>0.2</v>
      </c>
      <c r="V138" s="10" t="n">
        <v>0.144</v>
      </c>
      <c r="W138" s="10" t="n">
        <v>0.77</v>
      </c>
      <c r="X138" s="10" t="n">
        <v>0.12</v>
      </c>
      <c r="Y138" s="10" t="n">
        <v>0.8624</v>
      </c>
      <c r="Z138" s="10" t="n">
        <v>50.481024</v>
      </c>
    </row>
    <row r="139" customFormat="false" ht="13.5" hidden="false" customHeight="true" outlineLevel="0" collapsed="false">
      <c r="C139" s="10" t="s">
        <v>35</v>
      </c>
      <c r="D139" s="10" t="s">
        <v>254</v>
      </c>
      <c r="E139" s="10" t="s">
        <v>4</v>
      </c>
      <c r="F139" s="10" t="s">
        <v>1220</v>
      </c>
      <c r="G139" s="10" t="s">
        <v>68</v>
      </c>
      <c r="H139" s="10" t="s">
        <v>180</v>
      </c>
      <c r="I139" s="10" t="s">
        <v>111</v>
      </c>
      <c r="J139" s="10" t="s">
        <v>1101</v>
      </c>
      <c r="P139" s="10" t="s">
        <v>49</v>
      </c>
      <c r="Q139" s="10" t="n">
        <v>601.92</v>
      </c>
      <c r="R139" s="10" t="n">
        <v>601.92</v>
      </c>
      <c r="T139" s="10" t="n">
        <v>0.11</v>
      </c>
      <c r="U139" s="10" t="n">
        <v>0.2</v>
      </c>
      <c r="V139" s="10" t="n">
        <v>0.132</v>
      </c>
      <c r="W139" s="10" t="n">
        <v>0.76</v>
      </c>
      <c r="X139" s="10" t="n">
        <v>0.12</v>
      </c>
      <c r="Y139" s="10" t="n">
        <v>0.8512</v>
      </c>
      <c r="Z139" s="10" t="n">
        <v>591.807744</v>
      </c>
    </row>
    <row r="140" customFormat="false" ht="13.5" hidden="false" customHeight="true" outlineLevel="0" collapsed="false">
      <c r="C140" s="10" t="s">
        <v>35</v>
      </c>
      <c r="D140" s="10" t="s">
        <v>254</v>
      </c>
      <c r="E140" s="10" t="s">
        <v>4</v>
      </c>
      <c r="F140" s="10" t="s">
        <v>1220</v>
      </c>
      <c r="G140" s="10" t="s">
        <v>68</v>
      </c>
      <c r="H140" s="10" t="s">
        <v>180</v>
      </c>
      <c r="I140" s="10" t="s">
        <v>111</v>
      </c>
      <c r="J140" s="10" t="s">
        <v>1103</v>
      </c>
      <c r="P140" s="10" t="s">
        <v>49</v>
      </c>
      <c r="Q140" s="10" t="n">
        <v>125.4</v>
      </c>
      <c r="R140" s="10" t="n">
        <v>125.4</v>
      </c>
      <c r="T140" s="10" t="n">
        <v>0.1</v>
      </c>
      <c r="U140" s="10" t="n">
        <v>0.2</v>
      </c>
      <c r="V140" s="10" t="n">
        <v>0.12</v>
      </c>
      <c r="W140" s="10" t="n">
        <v>0.74</v>
      </c>
      <c r="X140" s="10" t="n">
        <v>0.12</v>
      </c>
      <c r="Y140" s="10" t="n">
        <v>0.8288</v>
      </c>
      <c r="Z140" s="10" t="n">
        <v>118.97952</v>
      </c>
    </row>
    <row r="141" customFormat="false" ht="13.5" hidden="false" customHeight="true" outlineLevel="0" collapsed="false">
      <c r="C141" s="10" t="s">
        <v>35</v>
      </c>
      <c r="D141" s="10" t="s">
        <v>254</v>
      </c>
      <c r="E141" s="10" t="s">
        <v>4</v>
      </c>
      <c r="F141" s="10" t="s">
        <v>1220</v>
      </c>
      <c r="G141" s="10" t="s">
        <v>68</v>
      </c>
      <c r="H141" s="10" t="s">
        <v>180</v>
      </c>
      <c r="I141" s="10" t="s">
        <v>1211</v>
      </c>
      <c r="J141" s="10" t="s">
        <v>1123</v>
      </c>
      <c r="P141" s="10" t="s">
        <v>49</v>
      </c>
      <c r="Q141" s="10" t="n">
        <v>31.0992</v>
      </c>
      <c r="R141" s="10" t="n">
        <v>31.0992</v>
      </c>
      <c r="T141" s="10" t="n">
        <v>0.05</v>
      </c>
      <c r="U141" s="10" t="n">
        <v>0.2</v>
      </c>
      <c r="V141" s="10" t="n">
        <v>0.06</v>
      </c>
      <c r="W141" s="10" t="n">
        <v>1.2</v>
      </c>
      <c r="X141" s="10" t="n">
        <v>0.12</v>
      </c>
      <c r="Y141" s="10" t="n">
        <v>1.344</v>
      </c>
      <c r="Z141" s="10" t="n">
        <v>43.6632768</v>
      </c>
    </row>
    <row r="142" customFormat="false" ht="13.5" hidden="false" customHeight="true" outlineLevel="0" collapsed="false">
      <c r="C142" s="10" t="s">
        <v>35</v>
      </c>
      <c r="D142" s="10" t="s">
        <v>254</v>
      </c>
      <c r="E142" s="10" t="s">
        <v>4</v>
      </c>
      <c r="F142" s="10" t="s">
        <v>1220</v>
      </c>
      <c r="G142" s="10" t="s">
        <v>68</v>
      </c>
      <c r="H142" s="10" t="s">
        <v>175</v>
      </c>
      <c r="I142" s="10" t="s">
        <v>110</v>
      </c>
      <c r="J142" s="10" t="s">
        <v>1109</v>
      </c>
      <c r="P142" s="10" t="s">
        <v>47</v>
      </c>
      <c r="Q142" s="10" t="n">
        <v>45.864</v>
      </c>
      <c r="R142" s="10" t="n">
        <v>45.864</v>
      </c>
      <c r="T142" s="10" t="n">
        <v>10</v>
      </c>
      <c r="U142" s="10" t="n">
        <v>0.2</v>
      </c>
      <c r="V142" s="10" t="n">
        <v>12</v>
      </c>
      <c r="W142" s="10" t="n">
        <v>98</v>
      </c>
      <c r="X142" s="10" t="n">
        <v>0.12</v>
      </c>
      <c r="Y142" s="10" t="n">
        <v>109.76</v>
      </c>
      <c r="Z142" s="10" t="n">
        <v>5584.40064</v>
      </c>
    </row>
    <row r="143" customFormat="false" ht="13.5" hidden="false" customHeight="true" outlineLevel="0" collapsed="false">
      <c r="C143" s="10" t="s">
        <v>35</v>
      </c>
      <c r="D143" s="10" t="s">
        <v>254</v>
      </c>
      <c r="E143" s="10" t="s">
        <v>4</v>
      </c>
      <c r="F143" s="10" t="s">
        <v>1220</v>
      </c>
      <c r="G143" s="10" t="s">
        <v>68</v>
      </c>
      <c r="H143" s="10" t="s">
        <v>175</v>
      </c>
      <c r="I143" s="10" t="s">
        <v>153</v>
      </c>
      <c r="J143" s="10" t="s">
        <v>153</v>
      </c>
      <c r="P143" s="10" t="s">
        <v>45</v>
      </c>
      <c r="Q143" s="10" t="n">
        <v>221.76</v>
      </c>
      <c r="R143" s="10" t="n">
        <v>221.76</v>
      </c>
      <c r="T143" s="10" t="n">
        <v>6</v>
      </c>
      <c r="U143" s="10" t="n">
        <v>0.2</v>
      </c>
      <c r="V143" s="10" t="n">
        <v>7.2</v>
      </c>
      <c r="W143" s="10" t="n">
        <v>5</v>
      </c>
      <c r="X143" s="10" t="n">
        <v>0.12</v>
      </c>
      <c r="Y143" s="10" t="n">
        <v>5.6</v>
      </c>
      <c r="Z143" s="10" t="n">
        <v>2838.528</v>
      </c>
    </row>
    <row r="144" customFormat="false" ht="13.5" hidden="false" customHeight="true" outlineLevel="0" collapsed="false">
      <c r="C144" s="10" t="s">
        <v>35</v>
      </c>
      <c r="D144" s="10" t="s">
        <v>254</v>
      </c>
      <c r="E144" s="10" t="s">
        <v>4</v>
      </c>
      <c r="F144" s="10" t="s">
        <v>1220</v>
      </c>
      <c r="G144" s="10" t="s">
        <v>68</v>
      </c>
      <c r="H144" s="10" t="s">
        <v>175</v>
      </c>
      <c r="I144" s="10" t="s">
        <v>111</v>
      </c>
      <c r="J144" s="10" t="s">
        <v>1101</v>
      </c>
      <c r="P144" s="10" t="s">
        <v>49</v>
      </c>
      <c r="Q144" s="10" t="n">
        <v>3061.25568</v>
      </c>
      <c r="R144" s="10" t="n">
        <v>3061.25568</v>
      </c>
      <c r="T144" s="10" t="n">
        <v>0.11</v>
      </c>
      <c r="U144" s="10" t="n">
        <v>0.2</v>
      </c>
      <c r="V144" s="10" t="n">
        <v>0.132</v>
      </c>
      <c r="W144" s="10" t="n">
        <v>0.76</v>
      </c>
      <c r="X144" s="10" t="n">
        <v>0.12</v>
      </c>
      <c r="Y144" s="10" t="n">
        <v>0.8512</v>
      </c>
      <c r="Z144" s="10" t="n">
        <v>3009.826584576</v>
      </c>
    </row>
    <row r="145" customFormat="false" ht="13.5" hidden="false" customHeight="true" outlineLevel="0" collapsed="false">
      <c r="C145" s="10" t="s">
        <v>35</v>
      </c>
      <c r="D145" s="10" t="s">
        <v>254</v>
      </c>
      <c r="E145" s="10" t="s">
        <v>4</v>
      </c>
      <c r="F145" s="10" t="s">
        <v>1220</v>
      </c>
      <c r="G145" s="10" t="s">
        <v>68</v>
      </c>
      <c r="H145" s="10" t="s">
        <v>175</v>
      </c>
      <c r="I145" s="10" t="s">
        <v>111</v>
      </c>
      <c r="J145" s="10" t="s">
        <v>1105</v>
      </c>
      <c r="P145" s="10" t="s">
        <v>49</v>
      </c>
      <c r="Q145" s="10" t="n">
        <v>1921.92</v>
      </c>
      <c r="R145" s="10" t="n">
        <v>1921.92</v>
      </c>
      <c r="T145" s="10" t="n">
        <v>0.08</v>
      </c>
      <c r="U145" s="10" t="n">
        <v>0.2</v>
      </c>
      <c r="V145" s="10" t="n">
        <v>0.096</v>
      </c>
      <c r="W145" s="10" t="n">
        <v>0.72</v>
      </c>
      <c r="X145" s="10" t="n">
        <v>0.12</v>
      </c>
      <c r="Y145" s="10" t="n">
        <v>0.8064</v>
      </c>
      <c r="Z145" s="10" t="n">
        <v>1734.340608</v>
      </c>
    </row>
    <row r="146" customFormat="false" ht="13.5" hidden="false" customHeight="true" outlineLevel="0" collapsed="false">
      <c r="C146" s="10" t="s">
        <v>35</v>
      </c>
      <c r="D146" s="10" t="s">
        <v>254</v>
      </c>
      <c r="E146" s="10" t="s">
        <v>4</v>
      </c>
      <c r="F146" s="10" t="s">
        <v>1220</v>
      </c>
      <c r="G146" s="10" t="s">
        <v>68</v>
      </c>
      <c r="H146" s="10" t="s">
        <v>175</v>
      </c>
      <c r="I146" s="10" t="s">
        <v>111</v>
      </c>
      <c r="J146" s="10" t="s">
        <v>1106</v>
      </c>
      <c r="P146" s="10" t="s">
        <v>49</v>
      </c>
      <c r="Q146" s="10" t="n">
        <v>10516.48</v>
      </c>
      <c r="R146" s="10" t="n">
        <v>10516.48</v>
      </c>
      <c r="T146" s="10" t="n">
        <v>0.08</v>
      </c>
      <c r="U146" s="10" t="n">
        <v>0.2</v>
      </c>
      <c r="V146" s="10" t="n">
        <v>0.096</v>
      </c>
      <c r="W146" s="10" t="n">
        <v>0.71</v>
      </c>
      <c r="X146" s="10" t="n">
        <v>0.12</v>
      </c>
      <c r="Y146" s="10" t="n">
        <v>0.7952</v>
      </c>
      <c r="Z146" s="10" t="n">
        <v>9372.286976</v>
      </c>
    </row>
    <row r="147" customFormat="false" ht="13.5" hidden="false" customHeight="true" outlineLevel="0" collapsed="false">
      <c r="C147" s="10" t="s">
        <v>35</v>
      </c>
      <c r="D147" s="10" t="s">
        <v>254</v>
      </c>
      <c r="E147" s="10" t="s">
        <v>4</v>
      </c>
      <c r="F147" s="10" t="s">
        <v>1220</v>
      </c>
      <c r="G147" s="10" t="s">
        <v>68</v>
      </c>
      <c r="H147" s="10" t="s">
        <v>175</v>
      </c>
      <c r="I147" s="10" t="s">
        <v>1211</v>
      </c>
      <c r="J147" s="10" t="s">
        <v>1123</v>
      </c>
      <c r="P147" s="10" t="s">
        <v>49</v>
      </c>
      <c r="Q147" s="10" t="n">
        <v>619.9862272</v>
      </c>
      <c r="R147" s="10" t="n">
        <v>619.9862272</v>
      </c>
      <c r="T147" s="10" t="n">
        <v>0.05</v>
      </c>
      <c r="U147" s="10" t="n">
        <v>0.2</v>
      </c>
      <c r="V147" s="10" t="n">
        <v>0.06</v>
      </c>
      <c r="W147" s="10" t="n">
        <v>1.2</v>
      </c>
      <c r="X147" s="10" t="n">
        <v>0.12</v>
      </c>
      <c r="Y147" s="10" t="n">
        <v>1.344</v>
      </c>
      <c r="Z147" s="10" t="n">
        <v>870.4606629888</v>
      </c>
    </row>
    <row r="148" customFormat="false" ht="13.5" hidden="false" customHeight="true" outlineLevel="0" collapsed="false">
      <c r="C148" s="10" t="s">
        <v>35</v>
      </c>
      <c r="D148" s="10" t="s">
        <v>254</v>
      </c>
      <c r="E148" s="10" t="s">
        <v>4</v>
      </c>
      <c r="F148" s="10" t="s">
        <v>1221</v>
      </c>
      <c r="G148" s="10" t="s">
        <v>68</v>
      </c>
      <c r="H148" s="10" t="s">
        <v>166</v>
      </c>
      <c r="I148" s="10" t="s">
        <v>110</v>
      </c>
      <c r="J148" s="10" t="s">
        <v>1109</v>
      </c>
      <c r="P148" s="10" t="s">
        <v>47</v>
      </c>
      <c r="Q148" s="10" t="n">
        <v>46.74115</v>
      </c>
      <c r="R148" s="10" t="n">
        <v>46.74115</v>
      </c>
      <c r="T148" s="10" t="n">
        <v>10</v>
      </c>
      <c r="U148" s="10" t="n">
        <v>0.2</v>
      </c>
      <c r="V148" s="10" t="n">
        <v>12</v>
      </c>
      <c r="W148" s="10" t="n">
        <v>98</v>
      </c>
      <c r="X148" s="10" t="n">
        <v>0.12</v>
      </c>
      <c r="Y148" s="10" t="n">
        <v>109.76</v>
      </c>
      <c r="Z148" s="10" t="n">
        <v>5691.202424</v>
      </c>
    </row>
    <row r="149" customFormat="false" ht="13.5" hidden="false" customHeight="true" outlineLevel="0" collapsed="false">
      <c r="C149" s="10" t="s">
        <v>35</v>
      </c>
      <c r="D149" s="10" t="s">
        <v>254</v>
      </c>
      <c r="E149" s="10" t="s">
        <v>4</v>
      </c>
      <c r="F149" s="10" t="s">
        <v>1221</v>
      </c>
      <c r="G149" s="10" t="s">
        <v>68</v>
      </c>
      <c r="H149" s="10" t="s">
        <v>166</v>
      </c>
      <c r="I149" s="10" t="s">
        <v>153</v>
      </c>
      <c r="J149" s="10" t="s">
        <v>153</v>
      </c>
      <c r="P149" s="10" t="s">
        <v>45</v>
      </c>
      <c r="Q149" s="10" t="n">
        <v>446.526</v>
      </c>
      <c r="R149" s="10" t="n">
        <v>446.526</v>
      </c>
      <c r="T149" s="10" t="n">
        <v>6</v>
      </c>
      <c r="U149" s="10" t="n">
        <v>0.2</v>
      </c>
      <c r="V149" s="10" t="n">
        <v>7.2</v>
      </c>
      <c r="W149" s="10" t="n">
        <v>5</v>
      </c>
      <c r="X149" s="10" t="n">
        <v>0.12</v>
      </c>
      <c r="Y149" s="10" t="n">
        <v>5.6</v>
      </c>
      <c r="Z149" s="10" t="n">
        <v>5715.5328</v>
      </c>
    </row>
    <row r="150" customFormat="false" ht="13.5" hidden="false" customHeight="true" outlineLevel="0" collapsed="false">
      <c r="C150" s="10" t="s">
        <v>35</v>
      </c>
      <c r="D150" s="10" t="s">
        <v>254</v>
      </c>
      <c r="E150" s="10" t="s">
        <v>4</v>
      </c>
      <c r="F150" s="10" t="s">
        <v>1221</v>
      </c>
      <c r="G150" s="10" t="s">
        <v>68</v>
      </c>
      <c r="H150" s="10" t="s">
        <v>166</v>
      </c>
      <c r="I150" s="10" t="s">
        <v>111</v>
      </c>
      <c r="J150" s="10" t="s">
        <v>1117</v>
      </c>
      <c r="P150" s="10" t="s">
        <v>49</v>
      </c>
      <c r="Q150" s="10" t="n">
        <v>624.1948</v>
      </c>
      <c r="R150" s="10" t="n">
        <v>624.1948</v>
      </c>
      <c r="T150" s="10" t="n">
        <v>0.12</v>
      </c>
      <c r="U150" s="10" t="n">
        <v>0.2</v>
      </c>
      <c r="V150" s="10" t="n">
        <v>0.144</v>
      </c>
      <c r="W150" s="10" t="n">
        <v>0.77</v>
      </c>
      <c r="X150" s="10" t="n">
        <v>0.12</v>
      </c>
      <c r="Y150" s="10" t="n">
        <v>0.8624</v>
      </c>
      <c r="Z150" s="10" t="n">
        <v>628.18964672</v>
      </c>
    </row>
    <row r="151" customFormat="false" ht="13.5" hidden="false" customHeight="true" outlineLevel="0" collapsed="false">
      <c r="C151" s="10" t="s">
        <v>35</v>
      </c>
      <c r="D151" s="10" t="s">
        <v>254</v>
      </c>
      <c r="E151" s="10" t="s">
        <v>4</v>
      </c>
      <c r="F151" s="10" t="s">
        <v>1221</v>
      </c>
      <c r="G151" s="10" t="s">
        <v>68</v>
      </c>
      <c r="H151" s="10" t="s">
        <v>166</v>
      </c>
      <c r="I151" s="10" t="s">
        <v>111</v>
      </c>
      <c r="J151" s="10" t="s">
        <v>1100</v>
      </c>
      <c r="P151" s="10" t="s">
        <v>49</v>
      </c>
      <c r="Q151" s="10" t="n">
        <v>2823.61142</v>
      </c>
      <c r="R151" s="10" t="n">
        <v>2823.61142</v>
      </c>
      <c r="T151" s="10" t="n">
        <v>0.12</v>
      </c>
      <c r="U151" s="10" t="n">
        <v>0.2</v>
      </c>
      <c r="V151" s="10" t="n">
        <v>0.144</v>
      </c>
      <c r="W151" s="10" t="n">
        <v>0.78</v>
      </c>
      <c r="X151" s="10" t="n">
        <v>0.12</v>
      </c>
      <c r="Y151" s="10" t="n">
        <v>0.8736</v>
      </c>
      <c r="Z151" s="10" t="n">
        <v>2873.306980992</v>
      </c>
    </row>
    <row r="152" customFormat="false" ht="13.5" hidden="false" customHeight="true" outlineLevel="0" collapsed="false">
      <c r="C152" s="10" t="s">
        <v>35</v>
      </c>
      <c r="D152" s="10" t="s">
        <v>254</v>
      </c>
      <c r="E152" s="10" t="s">
        <v>4</v>
      </c>
      <c r="F152" s="10" t="s">
        <v>1221</v>
      </c>
      <c r="G152" s="10" t="s">
        <v>68</v>
      </c>
      <c r="H152" s="10" t="s">
        <v>166</v>
      </c>
      <c r="I152" s="10" t="s">
        <v>111</v>
      </c>
      <c r="J152" s="10" t="s">
        <v>1101</v>
      </c>
      <c r="P152" s="10" t="s">
        <v>49</v>
      </c>
      <c r="Q152" s="10" t="n">
        <v>295.33104</v>
      </c>
      <c r="R152" s="10" t="n">
        <v>295.33104</v>
      </c>
      <c r="T152" s="10" t="n">
        <v>0.11</v>
      </c>
      <c r="U152" s="10" t="n">
        <v>0.2</v>
      </c>
      <c r="V152" s="10" t="n">
        <v>0.132</v>
      </c>
      <c r="W152" s="10" t="n">
        <v>0.76</v>
      </c>
      <c r="X152" s="10" t="n">
        <v>0.12</v>
      </c>
      <c r="Y152" s="10" t="n">
        <v>0.8512</v>
      </c>
      <c r="Z152" s="10" t="n">
        <v>290.369478528</v>
      </c>
    </row>
    <row r="153" customFormat="false" ht="13.5" hidden="false" customHeight="true" outlineLevel="0" collapsed="false">
      <c r="C153" s="10" t="s">
        <v>35</v>
      </c>
      <c r="D153" s="10" t="s">
        <v>254</v>
      </c>
      <c r="E153" s="10" t="s">
        <v>4</v>
      </c>
      <c r="F153" s="10" t="s">
        <v>1221</v>
      </c>
      <c r="G153" s="10" t="s">
        <v>68</v>
      </c>
      <c r="H153" s="10" t="s">
        <v>166</v>
      </c>
      <c r="I153" s="10" t="s">
        <v>111</v>
      </c>
      <c r="J153" s="10" t="s">
        <v>1103</v>
      </c>
      <c r="P153" s="10" t="s">
        <v>49</v>
      </c>
      <c r="Q153" s="10" t="n">
        <v>2411.8152</v>
      </c>
      <c r="R153" s="10" t="n">
        <v>2411.8152</v>
      </c>
      <c r="T153" s="10" t="n">
        <v>0.1</v>
      </c>
      <c r="U153" s="10" t="n">
        <v>0.2</v>
      </c>
      <c r="V153" s="10" t="n">
        <v>0.12</v>
      </c>
      <c r="W153" s="10" t="n">
        <v>0.74</v>
      </c>
      <c r="X153" s="10" t="n">
        <v>0.12</v>
      </c>
      <c r="Y153" s="10" t="n">
        <v>0.8288</v>
      </c>
      <c r="Z153" s="10" t="n">
        <v>2288.33026176</v>
      </c>
    </row>
    <row r="154" customFormat="false" ht="13.5" hidden="false" customHeight="true" outlineLevel="0" collapsed="false">
      <c r="C154" s="10" t="s">
        <v>35</v>
      </c>
      <c r="D154" s="10" t="s">
        <v>254</v>
      </c>
      <c r="E154" s="10" t="s">
        <v>4</v>
      </c>
      <c r="F154" s="10" t="s">
        <v>1221</v>
      </c>
      <c r="G154" s="10" t="s">
        <v>68</v>
      </c>
      <c r="H154" s="10" t="s">
        <v>166</v>
      </c>
      <c r="I154" s="10" t="s">
        <v>111</v>
      </c>
      <c r="J154" s="10" t="s">
        <v>1104</v>
      </c>
      <c r="P154" s="10" t="s">
        <v>49</v>
      </c>
      <c r="Q154" s="10" t="n">
        <v>1819.6614</v>
      </c>
      <c r="R154" s="10" t="n">
        <v>1819.6614</v>
      </c>
      <c r="T154" s="10" t="n">
        <v>0.09</v>
      </c>
      <c r="U154" s="10" t="n">
        <v>0.2</v>
      </c>
      <c r="V154" s="10" t="n">
        <v>0.108</v>
      </c>
      <c r="W154" s="10" t="n">
        <v>0.73</v>
      </c>
      <c r="X154" s="10" t="n">
        <v>0.12</v>
      </c>
      <c r="Y154" s="10" t="n">
        <v>0.8176</v>
      </c>
      <c r="Z154" s="10" t="n">
        <v>1684.27859184</v>
      </c>
    </row>
    <row r="155" customFormat="false" ht="13.5" hidden="false" customHeight="true" outlineLevel="0" collapsed="false">
      <c r="C155" s="10" t="s">
        <v>35</v>
      </c>
      <c r="D155" s="10" t="s">
        <v>254</v>
      </c>
      <c r="E155" s="10" t="s">
        <v>4</v>
      </c>
      <c r="F155" s="10" t="s">
        <v>1221</v>
      </c>
      <c r="G155" s="10" t="s">
        <v>68</v>
      </c>
      <c r="H155" s="10" t="s">
        <v>166</v>
      </c>
      <c r="I155" s="10" t="s">
        <v>111</v>
      </c>
      <c r="J155" s="10" t="s">
        <v>1105</v>
      </c>
      <c r="P155" s="10" t="s">
        <v>49</v>
      </c>
      <c r="Q155" s="10" t="n">
        <v>7527.2208</v>
      </c>
      <c r="R155" s="10" t="n">
        <v>7527.2208</v>
      </c>
      <c r="T155" s="10" t="n">
        <v>0.08</v>
      </c>
      <c r="U155" s="10" t="n">
        <v>0.2</v>
      </c>
      <c r="V155" s="10" t="n">
        <v>0.096</v>
      </c>
      <c r="W155" s="10" t="n">
        <v>0.72</v>
      </c>
      <c r="X155" s="10" t="n">
        <v>0.12</v>
      </c>
      <c r="Y155" s="10" t="n">
        <v>0.8064</v>
      </c>
      <c r="Z155" s="10" t="n">
        <v>6792.56404992</v>
      </c>
    </row>
    <row r="156" customFormat="false" ht="13.5" hidden="false" customHeight="true" outlineLevel="0" collapsed="false">
      <c r="C156" s="10" t="s">
        <v>35</v>
      </c>
      <c r="D156" s="10" t="s">
        <v>254</v>
      </c>
      <c r="E156" s="10" t="s">
        <v>4</v>
      </c>
      <c r="F156" s="10" t="s">
        <v>1221</v>
      </c>
      <c r="G156" s="10" t="s">
        <v>68</v>
      </c>
      <c r="H156" s="10" t="s">
        <v>166</v>
      </c>
      <c r="I156" s="10" t="s">
        <v>1211</v>
      </c>
      <c r="J156" s="10" t="s">
        <v>1123</v>
      </c>
      <c r="P156" s="10" t="s">
        <v>49</v>
      </c>
      <c r="Q156" s="10" t="n">
        <v>620.0733864</v>
      </c>
      <c r="R156" s="10" t="n">
        <v>620.0733864</v>
      </c>
      <c r="T156" s="10" t="n">
        <v>0.05</v>
      </c>
      <c r="U156" s="10" t="n">
        <v>0.2</v>
      </c>
      <c r="V156" s="10" t="n">
        <v>0.06</v>
      </c>
      <c r="W156" s="10" t="n">
        <v>1.2</v>
      </c>
      <c r="X156" s="10" t="n">
        <v>0.12</v>
      </c>
      <c r="Y156" s="10" t="n">
        <v>1.344</v>
      </c>
      <c r="Z156" s="10" t="n">
        <v>870.5830345056</v>
      </c>
    </row>
    <row r="157" customFormat="false" ht="13.5" hidden="false" customHeight="true" outlineLevel="0" collapsed="false">
      <c r="C157" s="10" t="s">
        <v>35</v>
      </c>
      <c r="D157" s="10" t="s">
        <v>254</v>
      </c>
      <c r="E157" s="10" t="s">
        <v>4</v>
      </c>
      <c r="F157" s="10" t="s">
        <v>1221</v>
      </c>
      <c r="G157" s="10" t="s">
        <v>68</v>
      </c>
      <c r="H157" s="10" t="s">
        <v>170</v>
      </c>
      <c r="I157" s="10" t="s">
        <v>110</v>
      </c>
      <c r="J157" s="10" t="s">
        <v>1109</v>
      </c>
      <c r="P157" s="10" t="s">
        <v>47</v>
      </c>
      <c r="Q157" s="10" t="n">
        <v>87.15</v>
      </c>
      <c r="R157" s="10" t="n">
        <v>87.15</v>
      </c>
      <c r="T157" s="10" t="n">
        <v>10</v>
      </c>
      <c r="U157" s="10" t="n">
        <v>0.2</v>
      </c>
      <c r="V157" s="10" t="n">
        <v>12</v>
      </c>
      <c r="W157" s="10" t="n">
        <v>98</v>
      </c>
      <c r="X157" s="10" t="n">
        <v>0.12</v>
      </c>
      <c r="Y157" s="10" t="n">
        <v>109.76</v>
      </c>
      <c r="Z157" s="10" t="n">
        <v>10611.384</v>
      </c>
    </row>
    <row r="158" customFormat="false" ht="13.5" hidden="false" customHeight="true" outlineLevel="0" collapsed="false">
      <c r="C158" s="10" t="s">
        <v>35</v>
      </c>
      <c r="D158" s="10" t="s">
        <v>254</v>
      </c>
      <c r="E158" s="10" t="s">
        <v>4</v>
      </c>
      <c r="F158" s="10" t="s">
        <v>1221</v>
      </c>
      <c r="G158" s="10" t="s">
        <v>68</v>
      </c>
      <c r="H158" s="10" t="s">
        <v>170</v>
      </c>
      <c r="I158" s="10" t="s">
        <v>153</v>
      </c>
      <c r="J158" s="10" t="s">
        <v>153</v>
      </c>
      <c r="P158" s="10" t="s">
        <v>45</v>
      </c>
      <c r="Q158" s="10" t="n">
        <v>581</v>
      </c>
      <c r="R158" s="10" t="n">
        <v>581</v>
      </c>
      <c r="T158" s="10" t="n">
        <v>6</v>
      </c>
      <c r="U158" s="10" t="n">
        <v>0.2</v>
      </c>
      <c r="V158" s="10" t="n">
        <v>7.2</v>
      </c>
      <c r="W158" s="10" t="n">
        <v>5</v>
      </c>
      <c r="X158" s="10" t="n">
        <v>0.12</v>
      </c>
      <c r="Y158" s="10" t="n">
        <v>5.6</v>
      </c>
      <c r="Z158" s="10" t="n">
        <v>7436.8</v>
      </c>
    </row>
    <row r="159" customFormat="false" ht="13.5" hidden="false" customHeight="true" outlineLevel="0" collapsed="false">
      <c r="C159" s="10" t="s">
        <v>35</v>
      </c>
      <c r="D159" s="10" t="s">
        <v>254</v>
      </c>
      <c r="E159" s="10" t="s">
        <v>4</v>
      </c>
      <c r="F159" s="10" t="s">
        <v>1221</v>
      </c>
      <c r="G159" s="10" t="s">
        <v>68</v>
      </c>
      <c r="H159" s="10" t="s">
        <v>170</v>
      </c>
      <c r="I159" s="10" t="s">
        <v>111</v>
      </c>
      <c r="J159" s="10" t="s">
        <v>1100</v>
      </c>
      <c r="P159" s="10" t="s">
        <v>49</v>
      </c>
      <c r="Q159" s="10" t="n">
        <v>11514.5</v>
      </c>
      <c r="R159" s="10" t="n">
        <v>11514.5</v>
      </c>
      <c r="T159" s="10" t="n">
        <v>0.12</v>
      </c>
      <c r="U159" s="10" t="n">
        <v>0.2</v>
      </c>
      <c r="V159" s="10" t="n">
        <v>0.144</v>
      </c>
      <c r="W159" s="10" t="n">
        <v>0.78</v>
      </c>
      <c r="X159" s="10" t="n">
        <v>0.12</v>
      </c>
      <c r="Y159" s="10" t="n">
        <v>0.8736</v>
      </c>
      <c r="Z159" s="10" t="n">
        <v>11717.1552</v>
      </c>
    </row>
    <row r="160" customFormat="false" ht="13.5" hidden="false" customHeight="true" outlineLevel="0" collapsed="false">
      <c r="C160" s="10" t="s">
        <v>35</v>
      </c>
      <c r="D160" s="10" t="s">
        <v>254</v>
      </c>
      <c r="E160" s="10" t="s">
        <v>4</v>
      </c>
      <c r="F160" s="10" t="s">
        <v>1221</v>
      </c>
      <c r="G160" s="10" t="s">
        <v>68</v>
      </c>
      <c r="H160" s="10" t="s">
        <v>170</v>
      </c>
      <c r="I160" s="10" t="s">
        <v>111</v>
      </c>
      <c r="J160" s="10" t="s">
        <v>1101</v>
      </c>
      <c r="P160" s="10" t="s">
        <v>49</v>
      </c>
      <c r="Q160" s="10" t="n">
        <v>166.5</v>
      </c>
      <c r="R160" s="10" t="n">
        <v>166.5</v>
      </c>
      <c r="T160" s="10" t="n">
        <v>0.11</v>
      </c>
      <c r="U160" s="10" t="n">
        <v>0.2</v>
      </c>
      <c r="V160" s="10" t="n">
        <v>0.132</v>
      </c>
      <c r="W160" s="10" t="n">
        <v>0.76</v>
      </c>
      <c r="X160" s="10" t="n">
        <v>0.12</v>
      </c>
      <c r="Y160" s="10" t="n">
        <v>0.8512</v>
      </c>
      <c r="Z160" s="10" t="n">
        <v>163.7028</v>
      </c>
    </row>
    <row r="161" customFormat="false" ht="13.5" hidden="false" customHeight="true" outlineLevel="0" collapsed="false">
      <c r="C161" s="10" t="s">
        <v>35</v>
      </c>
      <c r="D161" s="10" t="s">
        <v>254</v>
      </c>
      <c r="E161" s="10" t="s">
        <v>4</v>
      </c>
      <c r="F161" s="10" t="s">
        <v>1221</v>
      </c>
      <c r="G161" s="10" t="s">
        <v>68</v>
      </c>
      <c r="H161" s="10" t="s">
        <v>170</v>
      </c>
      <c r="I161" s="10" t="s">
        <v>1211</v>
      </c>
      <c r="J161" s="10" t="s">
        <v>1123</v>
      </c>
      <c r="P161" s="10" t="s">
        <v>49</v>
      </c>
      <c r="Q161" s="10" t="n">
        <v>467.24</v>
      </c>
      <c r="R161" s="10" t="n">
        <v>467.24</v>
      </c>
      <c r="T161" s="10" t="n">
        <v>0.05</v>
      </c>
      <c r="U161" s="10" t="n">
        <v>0.2</v>
      </c>
      <c r="V161" s="10" t="n">
        <v>0.06</v>
      </c>
      <c r="W161" s="10" t="n">
        <v>1.2</v>
      </c>
      <c r="X161" s="10" t="n">
        <v>0.12</v>
      </c>
      <c r="Y161" s="10" t="n">
        <v>1.344</v>
      </c>
      <c r="Z161" s="10" t="n">
        <v>656.00496</v>
      </c>
    </row>
    <row r="162" customFormat="false" ht="13.5" hidden="false" customHeight="true" outlineLevel="0" collapsed="false">
      <c r="C162" s="10" t="s">
        <v>35</v>
      </c>
      <c r="D162" s="10" t="s">
        <v>254</v>
      </c>
      <c r="E162" s="10" t="s">
        <v>4</v>
      </c>
      <c r="F162" s="10" t="s">
        <v>1221</v>
      </c>
      <c r="G162" s="10" t="s">
        <v>68</v>
      </c>
      <c r="H162" s="10" t="s">
        <v>1218</v>
      </c>
      <c r="I162" s="10" t="s">
        <v>110</v>
      </c>
      <c r="J162" s="10" t="s">
        <v>1109</v>
      </c>
      <c r="P162" s="10" t="s">
        <v>47</v>
      </c>
      <c r="Q162" s="10" t="n">
        <v>23.43</v>
      </c>
      <c r="R162" s="10" t="n">
        <v>23.43</v>
      </c>
      <c r="T162" s="10" t="n">
        <v>10</v>
      </c>
      <c r="U162" s="10" t="n">
        <v>0.2</v>
      </c>
      <c r="V162" s="10" t="n">
        <v>12</v>
      </c>
      <c r="W162" s="10" t="n">
        <v>98</v>
      </c>
      <c r="X162" s="10" t="n">
        <v>0.12</v>
      </c>
      <c r="Y162" s="10" t="n">
        <v>109.76</v>
      </c>
      <c r="Z162" s="10" t="n">
        <v>2852.8368</v>
      </c>
    </row>
    <row r="163" customFormat="false" ht="13.5" hidden="false" customHeight="true" outlineLevel="0" collapsed="false">
      <c r="C163" s="10" t="s">
        <v>35</v>
      </c>
      <c r="D163" s="10" t="s">
        <v>254</v>
      </c>
      <c r="E163" s="10" t="s">
        <v>4</v>
      </c>
      <c r="F163" s="10" t="s">
        <v>1221</v>
      </c>
      <c r="G163" s="10" t="s">
        <v>68</v>
      </c>
      <c r="H163" s="10" t="s">
        <v>1218</v>
      </c>
      <c r="I163" s="10" t="s">
        <v>153</v>
      </c>
      <c r="J163" s="10" t="s">
        <v>153</v>
      </c>
      <c r="P163" s="10" t="s">
        <v>45</v>
      </c>
      <c r="Q163" s="10" t="n">
        <v>139.7</v>
      </c>
      <c r="R163" s="10" t="n">
        <v>139.7</v>
      </c>
      <c r="T163" s="10" t="n">
        <v>6</v>
      </c>
      <c r="U163" s="10" t="n">
        <v>0.2</v>
      </c>
      <c r="V163" s="10" t="n">
        <v>7.2</v>
      </c>
      <c r="W163" s="10" t="n">
        <v>5</v>
      </c>
      <c r="X163" s="10" t="n">
        <v>0.12</v>
      </c>
      <c r="Y163" s="10" t="n">
        <v>5.6</v>
      </c>
      <c r="Z163" s="10" t="n">
        <v>1788.16</v>
      </c>
    </row>
    <row r="164" customFormat="false" ht="13.5" hidden="false" customHeight="true" outlineLevel="0" collapsed="false">
      <c r="C164" s="10" t="s">
        <v>35</v>
      </c>
      <c r="D164" s="10" t="s">
        <v>254</v>
      </c>
      <c r="E164" s="10" t="s">
        <v>4</v>
      </c>
      <c r="F164" s="10" t="s">
        <v>1221</v>
      </c>
      <c r="G164" s="10" t="s">
        <v>68</v>
      </c>
      <c r="H164" s="10" t="s">
        <v>1218</v>
      </c>
      <c r="I164" s="10" t="s">
        <v>111</v>
      </c>
      <c r="J164" s="10" t="s">
        <v>1100</v>
      </c>
      <c r="P164" s="10" t="s">
        <v>49</v>
      </c>
      <c r="Q164" s="10" t="n">
        <v>241.864</v>
      </c>
      <c r="R164" s="10" t="n">
        <v>241.864</v>
      </c>
      <c r="T164" s="10" t="n">
        <v>0.12</v>
      </c>
      <c r="U164" s="10" t="n">
        <v>0.2</v>
      </c>
      <c r="V164" s="10" t="n">
        <v>0.144</v>
      </c>
      <c r="W164" s="10" t="n">
        <v>0.78</v>
      </c>
      <c r="X164" s="10" t="n">
        <v>0.12</v>
      </c>
      <c r="Y164" s="10" t="n">
        <v>0.8736</v>
      </c>
      <c r="Z164" s="10" t="n">
        <v>246.1208064</v>
      </c>
    </row>
    <row r="165" customFormat="false" ht="13.5" hidden="false" customHeight="true" outlineLevel="0" collapsed="false">
      <c r="C165" s="10" t="s">
        <v>35</v>
      </c>
      <c r="D165" s="10" t="s">
        <v>254</v>
      </c>
      <c r="E165" s="10" t="s">
        <v>4</v>
      </c>
      <c r="F165" s="10" t="s">
        <v>1221</v>
      </c>
      <c r="G165" s="10" t="s">
        <v>68</v>
      </c>
      <c r="H165" s="10" t="s">
        <v>1218</v>
      </c>
      <c r="I165" s="10" t="s">
        <v>111</v>
      </c>
      <c r="J165" s="10" t="s">
        <v>1101</v>
      </c>
      <c r="P165" s="10" t="s">
        <v>49</v>
      </c>
      <c r="Q165" s="10" t="n">
        <v>1071.6384</v>
      </c>
      <c r="R165" s="10" t="n">
        <v>1071.6384</v>
      </c>
      <c r="T165" s="10" t="n">
        <v>0.11</v>
      </c>
      <c r="U165" s="10" t="n">
        <v>0.2</v>
      </c>
      <c r="V165" s="10" t="n">
        <v>0.132</v>
      </c>
      <c r="W165" s="10" t="n">
        <v>0.76</v>
      </c>
      <c r="X165" s="10" t="n">
        <v>0.12</v>
      </c>
      <c r="Y165" s="10" t="n">
        <v>0.8512</v>
      </c>
      <c r="Z165" s="10" t="n">
        <v>1053.63487488</v>
      </c>
    </row>
    <row r="166" customFormat="false" ht="13.5" hidden="false" customHeight="true" outlineLevel="0" collapsed="false">
      <c r="C166" s="10" t="s">
        <v>35</v>
      </c>
      <c r="D166" s="10" t="s">
        <v>254</v>
      </c>
      <c r="E166" s="10" t="s">
        <v>4</v>
      </c>
      <c r="F166" s="10" t="s">
        <v>1221</v>
      </c>
      <c r="G166" s="10" t="s">
        <v>68</v>
      </c>
      <c r="H166" s="10" t="s">
        <v>1218</v>
      </c>
      <c r="I166" s="10" t="s">
        <v>111</v>
      </c>
      <c r="J166" s="10" t="s">
        <v>1103</v>
      </c>
      <c r="P166" s="10" t="s">
        <v>49</v>
      </c>
      <c r="Q166" s="10" t="n">
        <v>1659.632</v>
      </c>
      <c r="R166" s="10" t="n">
        <v>1659.632</v>
      </c>
      <c r="T166" s="10" t="n">
        <v>0.1</v>
      </c>
      <c r="U166" s="10" t="n">
        <v>0.2</v>
      </c>
      <c r="V166" s="10" t="n">
        <v>0.12</v>
      </c>
      <c r="W166" s="10" t="n">
        <v>0.74</v>
      </c>
      <c r="X166" s="10" t="n">
        <v>0.12</v>
      </c>
      <c r="Y166" s="10" t="n">
        <v>0.8288</v>
      </c>
      <c r="Z166" s="10" t="n">
        <v>1574.6588416</v>
      </c>
    </row>
    <row r="167" customFormat="false" ht="13.5" hidden="false" customHeight="true" outlineLevel="0" collapsed="false">
      <c r="C167" s="10" t="s">
        <v>35</v>
      </c>
      <c r="D167" s="10" t="s">
        <v>254</v>
      </c>
      <c r="E167" s="10" t="s">
        <v>4</v>
      </c>
      <c r="F167" s="10" t="s">
        <v>1221</v>
      </c>
      <c r="G167" s="10" t="s">
        <v>68</v>
      </c>
      <c r="H167" s="10" t="s">
        <v>1218</v>
      </c>
      <c r="I167" s="10" t="s">
        <v>111</v>
      </c>
      <c r="J167" s="10" t="s">
        <v>1104</v>
      </c>
      <c r="P167" s="10" t="s">
        <v>49</v>
      </c>
      <c r="Q167" s="10" t="n">
        <v>822.016</v>
      </c>
      <c r="R167" s="10" t="n">
        <v>822.016</v>
      </c>
      <c r="T167" s="10" t="n">
        <v>0.09</v>
      </c>
      <c r="U167" s="10" t="n">
        <v>0.2</v>
      </c>
      <c r="V167" s="10" t="n">
        <v>0.108</v>
      </c>
      <c r="W167" s="10" t="n">
        <v>0.73</v>
      </c>
      <c r="X167" s="10" t="n">
        <v>0.12</v>
      </c>
      <c r="Y167" s="10" t="n">
        <v>0.8176</v>
      </c>
      <c r="Z167" s="10" t="n">
        <v>760.8580096</v>
      </c>
    </row>
    <row r="168" customFormat="false" ht="13.5" hidden="false" customHeight="true" outlineLevel="0" collapsed="false">
      <c r="C168" s="10" t="s">
        <v>35</v>
      </c>
      <c r="D168" s="10" t="s">
        <v>254</v>
      </c>
      <c r="E168" s="10" t="s">
        <v>4</v>
      </c>
      <c r="F168" s="10" t="s">
        <v>1221</v>
      </c>
      <c r="G168" s="10" t="s">
        <v>68</v>
      </c>
      <c r="H168" s="10" t="s">
        <v>1218</v>
      </c>
      <c r="I168" s="10" t="s">
        <v>1211</v>
      </c>
      <c r="J168" s="10" t="s">
        <v>1123</v>
      </c>
      <c r="P168" s="10" t="s">
        <v>49</v>
      </c>
      <c r="Q168" s="10" t="n">
        <v>151.806016</v>
      </c>
      <c r="R168" s="10" t="n">
        <v>151.806016</v>
      </c>
      <c r="T168" s="10" t="n">
        <v>0.05</v>
      </c>
      <c r="U168" s="10" t="n">
        <v>0.2</v>
      </c>
      <c r="V168" s="10" t="n">
        <v>0.06</v>
      </c>
      <c r="W168" s="10" t="n">
        <v>1.2</v>
      </c>
      <c r="X168" s="10" t="n">
        <v>0.12</v>
      </c>
      <c r="Y168" s="10" t="n">
        <v>1.344</v>
      </c>
      <c r="Z168" s="10" t="n">
        <v>213.135646464</v>
      </c>
    </row>
    <row r="169" customFormat="false" ht="13.5" hidden="false" customHeight="true" outlineLevel="0" collapsed="false">
      <c r="C169" s="10" t="s">
        <v>35</v>
      </c>
      <c r="D169" s="10" t="s">
        <v>254</v>
      </c>
      <c r="E169" s="10" t="s">
        <v>4</v>
      </c>
      <c r="F169" s="10" t="s">
        <v>1221</v>
      </c>
      <c r="G169" s="10" t="s">
        <v>68</v>
      </c>
      <c r="H169" s="10" t="s">
        <v>180</v>
      </c>
      <c r="I169" s="10" t="s">
        <v>110</v>
      </c>
      <c r="J169" s="10" t="s">
        <v>1109</v>
      </c>
      <c r="P169" s="10" t="s">
        <v>47</v>
      </c>
      <c r="Q169" s="10" t="n">
        <v>5.016</v>
      </c>
      <c r="R169" s="10" t="n">
        <v>5.016</v>
      </c>
      <c r="T169" s="10" t="n">
        <v>10</v>
      </c>
      <c r="U169" s="10" t="n">
        <v>0.2</v>
      </c>
      <c r="V169" s="10" t="n">
        <v>12</v>
      </c>
      <c r="W169" s="10" t="n">
        <v>98</v>
      </c>
      <c r="X169" s="10" t="n">
        <v>0.12</v>
      </c>
      <c r="Y169" s="10" t="n">
        <v>109.76</v>
      </c>
      <c r="Z169" s="10" t="n">
        <v>610.74816</v>
      </c>
    </row>
    <row r="170" customFormat="false" ht="13.5" hidden="false" customHeight="true" outlineLevel="0" collapsed="false">
      <c r="C170" s="10" t="s">
        <v>35</v>
      </c>
      <c r="D170" s="10" t="s">
        <v>254</v>
      </c>
      <c r="E170" s="10" t="s">
        <v>4</v>
      </c>
      <c r="F170" s="10" t="s">
        <v>1221</v>
      </c>
      <c r="G170" s="10" t="s">
        <v>68</v>
      </c>
      <c r="H170" s="10" t="s">
        <v>180</v>
      </c>
      <c r="I170" s="10" t="s">
        <v>153</v>
      </c>
      <c r="J170" s="10" t="s">
        <v>153</v>
      </c>
      <c r="P170" s="10" t="s">
        <v>45</v>
      </c>
      <c r="Q170" s="10" t="n">
        <v>75.24</v>
      </c>
      <c r="R170" s="10" t="n">
        <v>75.24</v>
      </c>
      <c r="T170" s="10" t="n">
        <v>6</v>
      </c>
      <c r="U170" s="10" t="n">
        <v>0.2</v>
      </c>
      <c r="V170" s="10" t="n">
        <v>7.2</v>
      </c>
      <c r="W170" s="10" t="n">
        <v>5</v>
      </c>
      <c r="X170" s="10" t="n">
        <v>0.12</v>
      </c>
      <c r="Y170" s="10" t="n">
        <v>5.6</v>
      </c>
      <c r="Z170" s="10" t="n">
        <v>963.072</v>
      </c>
    </row>
    <row r="171" customFormat="false" ht="13.5" hidden="false" customHeight="true" outlineLevel="0" collapsed="false">
      <c r="C171" s="10" t="s">
        <v>35</v>
      </c>
      <c r="D171" s="10" t="s">
        <v>254</v>
      </c>
      <c r="E171" s="10" t="s">
        <v>4</v>
      </c>
      <c r="F171" s="10" t="s">
        <v>1221</v>
      </c>
      <c r="G171" s="10" t="s">
        <v>68</v>
      </c>
      <c r="H171" s="10" t="s">
        <v>180</v>
      </c>
      <c r="I171" s="10" t="s">
        <v>111</v>
      </c>
      <c r="J171" s="10" t="s">
        <v>1117</v>
      </c>
      <c r="P171" s="10" t="s">
        <v>49</v>
      </c>
      <c r="Q171" s="10" t="n">
        <v>50.16</v>
      </c>
      <c r="R171" s="10" t="n">
        <v>50.16</v>
      </c>
      <c r="T171" s="10" t="n">
        <v>0.12</v>
      </c>
      <c r="U171" s="10" t="n">
        <v>0.2</v>
      </c>
      <c r="V171" s="10" t="n">
        <v>0.144</v>
      </c>
      <c r="W171" s="10" t="n">
        <v>0.77</v>
      </c>
      <c r="X171" s="10" t="n">
        <v>0.12</v>
      </c>
      <c r="Y171" s="10" t="n">
        <v>0.8624</v>
      </c>
      <c r="Z171" s="10" t="n">
        <v>50.481024</v>
      </c>
    </row>
    <row r="172" customFormat="false" ht="13.5" hidden="false" customHeight="true" outlineLevel="0" collapsed="false">
      <c r="C172" s="10" t="s">
        <v>35</v>
      </c>
      <c r="D172" s="10" t="s">
        <v>254</v>
      </c>
      <c r="E172" s="10" t="s">
        <v>4</v>
      </c>
      <c r="F172" s="10" t="s">
        <v>1221</v>
      </c>
      <c r="G172" s="10" t="s">
        <v>68</v>
      </c>
      <c r="H172" s="10" t="s">
        <v>180</v>
      </c>
      <c r="I172" s="10" t="s">
        <v>111</v>
      </c>
      <c r="J172" s="10" t="s">
        <v>1101</v>
      </c>
      <c r="P172" s="10" t="s">
        <v>49</v>
      </c>
      <c r="Q172" s="10" t="n">
        <v>601.92</v>
      </c>
      <c r="R172" s="10" t="n">
        <v>601.92</v>
      </c>
      <c r="T172" s="10" t="n">
        <v>0.11</v>
      </c>
      <c r="U172" s="10" t="n">
        <v>0.2</v>
      </c>
      <c r="V172" s="10" t="n">
        <v>0.132</v>
      </c>
      <c r="W172" s="10" t="n">
        <v>0.76</v>
      </c>
      <c r="X172" s="10" t="n">
        <v>0.12</v>
      </c>
      <c r="Y172" s="10" t="n">
        <v>0.8512</v>
      </c>
      <c r="Z172" s="10" t="n">
        <v>591.807744</v>
      </c>
    </row>
    <row r="173" customFormat="false" ht="13.5" hidden="false" customHeight="true" outlineLevel="0" collapsed="false">
      <c r="C173" s="10" t="s">
        <v>35</v>
      </c>
      <c r="D173" s="10" t="s">
        <v>254</v>
      </c>
      <c r="E173" s="10" t="s">
        <v>4</v>
      </c>
      <c r="F173" s="10" t="s">
        <v>1221</v>
      </c>
      <c r="G173" s="10" t="s">
        <v>68</v>
      </c>
      <c r="H173" s="10" t="s">
        <v>180</v>
      </c>
      <c r="I173" s="10" t="s">
        <v>111</v>
      </c>
      <c r="J173" s="10" t="s">
        <v>1103</v>
      </c>
      <c r="P173" s="10" t="s">
        <v>49</v>
      </c>
      <c r="Q173" s="10" t="n">
        <v>125.4</v>
      </c>
      <c r="R173" s="10" t="n">
        <v>125.4</v>
      </c>
      <c r="T173" s="10" t="n">
        <v>0.1</v>
      </c>
      <c r="U173" s="10" t="n">
        <v>0.2</v>
      </c>
      <c r="V173" s="10" t="n">
        <v>0.12</v>
      </c>
      <c r="W173" s="10" t="n">
        <v>0.74</v>
      </c>
      <c r="X173" s="10" t="n">
        <v>0.12</v>
      </c>
      <c r="Y173" s="10" t="n">
        <v>0.8288</v>
      </c>
      <c r="Z173" s="10" t="n">
        <v>118.97952</v>
      </c>
    </row>
    <row r="174" customFormat="false" ht="13.5" hidden="false" customHeight="true" outlineLevel="0" collapsed="false">
      <c r="C174" s="10" t="s">
        <v>35</v>
      </c>
      <c r="D174" s="10" t="s">
        <v>254</v>
      </c>
      <c r="E174" s="10" t="s">
        <v>4</v>
      </c>
      <c r="F174" s="10" t="s">
        <v>1221</v>
      </c>
      <c r="G174" s="10" t="s">
        <v>68</v>
      </c>
      <c r="H174" s="10" t="s">
        <v>180</v>
      </c>
      <c r="I174" s="10" t="s">
        <v>1211</v>
      </c>
      <c r="J174" s="10" t="s">
        <v>1123</v>
      </c>
      <c r="P174" s="10" t="s">
        <v>49</v>
      </c>
      <c r="Q174" s="10" t="n">
        <v>31.0992</v>
      </c>
      <c r="R174" s="10" t="n">
        <v>31.0992</v>
      </c>
      <c r="T174" s="10" t="n">
        <v>0.05</v>
      </c>
      <c r="U174" s="10" t="n">
        <v>0.2</v>
      </c>
      <c r="V174" s="10" t="n">
        <v>0.06</v>
      </c>
      <c r="W174" s="10" t="n">
        <v>1.2</v>
      </c>
      <c r="X174" s="10" t="n">
        <v>0.12</v>
      </c>
      <c r="Y174" s="10" t="n">
        <v>1.344</v>
      </c>
      <c r="Z174" s="10" t="n">
        <v>43.6632768</v>
      </c>
    </row>
    <row r="175" customFormat="false" ht="13.5" hidden="false" customHeight="true" outlineLevel="0" collapsed="false">
      <c r="C175" s="10" t="s">
        <v>35</v>
      </c>
      <c r="D175" s="10" t="s">
        <v>254</v>
      </c>
      <c r="E175" s="10" t="s">
        <v>4</v>
      </c>
      <c r="F175" s="10" t="s">
        <v>1221</v>
      </c>
      <c r="G175" s="10" t="s">
        <v>68</v>
      </c>
      <c r="H175" s="10" t="s">
        <v>175</v>
      </c>
      <c r="I175" s="10" t="s">
        <v>110</v>
      </c>
      <c r="J175" s="10" t="s">
        <v>1109</v>
      </c>
      <c r="P175" s="10" t="s">
        <v>47</v>
      </c>
      <c r="Q175" s="10" t="n">
        <v>45.864</v>
      </c>
      <c r="R175" s="10" t="n">
        <v>45.864</v>
      </c>
      <c r="T175" s="10" t="n">
        <v>10</v>
      </c>
      <c r="U175" s="10" t="n">
        <v>0.2</v>
      </c>
      <c r="V175" s="10" t="n">
        <v>12</v>
      </c>
      <c r="W175" s="10" t="n">
        <v>98</v>
      </c>
      <c r="X175" s="10" t="n">
        <v>0.12</v>
      </c>
      <c r="Y175" s="10" t="n">
        <v>109.76</v>
      </c>
      <c r="Z175" s="10" t="n">
        <v>5584.40064</v>
      </c>
    </row>
    <row r="176" customFormat="false" ht="13.5" hidden="false" customHeight="true" outlineLevel="0" collapsed="false">
      <c r="C176" s="10" t="s">
        <v>35</v>
      </c>
      <c r="D176" s="10" t="s">
        <v>254</v>
      </c>
      <c r="E176" s="10" t="s">
        <v>4</v>
      </c>
      <c r="F176" s="10" t="s">
        <v>1221</v>
      </c>
      <c r="G176" s="10" t="s">
        <v>68</v>
      </c>
      <c r="H176" s="10" t="s">
        <v>175</v>
      </c>
      <c r="I176" s="10" t="s">
        <v>153</v>
      </c>
      <c r="J176" s="10" t="s">
        <v>153</v>
      </c>
      <c r="P176" s="10" t="s">
        <v>45</v>
      </c>
      <c r="Q176" s="10" t="n">
        <v>221.76</v>
      </c>
      <c r="R176" s="10" t="n">
        <v>221.76</v>
      </c>
      <c r="T176" s="10" t="n">
        <v>6</v>
      </c>
      <c r="U176" s="10" t="n">
        <v>0.2</v>
      </c>
      <c r="V176" s="10" t="n">
        <v>7.2</v>
      </c>
      <c r="W176" s="10" t="n">
        <v>5</v>
      </c>
      <c r="X176" s="10" t="n">
        <v>0.12</v>
      </c>
      <c r="Y176" s="10" t="n">
        <v>5.6</v>
      </c>
      <c r="Z176" s="10" t="n">
        <v>2838.528</v>
      </c>
    </row>
    <row r="177" customFormat="false" ht="13.5" hidden="false" customHeight="true" outlineLevel="0" collapsed="false">
      <c r="C177" s="10" t="s">
        <v>35</v>
      </c>
      <c r="D177" s="10" t="s">
        <v>254</v>
      </c>
      <c r="E177" s="10" t="s">
        <v>4</v>
      </c>
      <c r="F177" s="10" t="s">
        <v>1221</v>
      </c>
      <c r="G177" s="10" t="s">
        <v>68</v>
      </c>
      <c r="H177" s="10" t="s">
        <v>175</v>
      </c>
      <c r="I177" s="10" t="s">
        <v>111</v>
      </c>
      <c r="J177" s="10" t="s">
        <v>1101</v>
      </c>
      <c r="P177" s="10" t="s">
        <v>49</v>
      </c>
      <c r="Q177" s="10" t="n">
        <v>3061.25568</v>
      </c>
      <c r="R177" s="10" t="n">
        <v>3061.25568</v>
      </c>
      <c r="T177" s="10" t="n">
        <v>0.11</v>
      </c>
      <c r="U177" s="10" t="n">
        <v>0.2</v>
      </c>
      <c r="V177" s="10" t="n">
        <v>0.132</v>
      </c>
      <c r="W177" s="10" t="n">
        <v>0.76</v>
      </c>
      <c r="X177" s="10" t="n">
        <v>0.12</v>
      </c>
      <c r="Y177" s="10" t="n">
        <v>0.8512</v>
      </c>
      <c r="Z177" s="10" t="n">
        <v>3009.826584576</v>
      </c>
    </row>
    <row r="178" customFormat="false" ht="13.5" hidden="false" customHeight="true" outlineLevel="0" collapsed="false">
      <c r="C178" s="10" t="s">
        <v>35</v>
      </c>
      <c r="D178" s="10" t="s">
        <v>254</v>
      </c>
      <c r="E178" s="10" t="s">
        <v>4</v>
      </c>
      <c r="F178" s="10" t="s">
        <v>1221</v>
      </c>
      <c r="G178" s="10" t="s">
        <v>68</v>
      </c>
      <c r="H178" s="10" t="s">
        <v>175</v>
      </c>
      <c r="I178" s="10" t="s">
        <v>111</v>
      </c>
      <c r="J178" s="10" t="s">
        <v>1105</v>
      </c>
      <c r="P178" s="10" t="s">
        <v>49</v>
      </c>
      <c r="Q178" s="10" t="n">
        <v>1921.92</v>
      </c>
      <c r="R178" s="10" t="n">
        <v>1921.92</v>
      </c>
      <c r="T178" s="10" t="n">
        <v>0.08</v>
      </c>
      <c r="U178" s="10" t="n">
        <v>0.2</v>
      </c>
      <c r="V178" s="10" t="n">
        <v>0.096</v>
      </c>
      <c r="W178" s="10" t="n">
        <v>0.72</v>
      </c>
      <c r="X178" s="10" t="n">
        <v>0.12</v>
      </c>
      <c r="Y178" s="10" t="n">
        <v>0.8064</v>
      </c>
      <c r="Z178" s="10" t="n">
        <v>1734.340608</v>
      </c>
    </row>
    <row r="179" customFormat="false" ht="13.5" hidden="false" customHeight="true" outlineLevel="0" collapsed="false">
      <c r="C179" s="10" t="s">
        <v>35</v>
      </c>
      <c r="D179" s="10" t="s">
        <v>254</v>
      </c>
      <c r="E179" s="10" t="s">
        <v>4</v>
      </c>
      <c r="F179" s="10" t="s">
        <v>1221</v>
      </c>
      <c r="G179" s="10" t="s">
        <v>68</v>
      </c>
      <c r="H179" s="10" t="s">
        <v>175</v>
      </c>
      <c r="I179" s="10" t="s">
        <v>111</v>
      </c>
      <c r="J179" s="10" t="s">
        <v>1106</v>
      </c>
      <c r="P179" s="10" t="s">
        <v>49</v>
      </c>
      <c r="Q179" s="10" t="n">
        <v>10516.48</v>
      </c>
      <c r="R179" s="10" t="n">
        <v>10516.48</v>
      </c>
      <c r="T179" s="10" t="n">
        <v>0.08</v>
      </c>
      <c r="U179" s="10" t="n">
        <v>0.2</v>
      </c>
      <c r="V179" s="10" t="n">
        <v>0.096</v>
      </c>
      <c r="W179" s="10" t="n">
        <v>0.71</v>
      </c>
      <c r="X179" s="10" t="n">
        <v>0.12</v>
      </c>
      <c r="Y179" s="10" t="n">
        <v>0.7952</v>
      </c>
      <c r="Z179" s="10" t="n">
        <v>9372.286976</v>
      </c>
    </row>
    <row r="180" customFormat="false" ht="13.5" hidden="false" customHeight="true" outlineLevel="0" collapsed="false">
      <c r="C180" s="10" t="s">
        <v>35</v>
      </c>
      <c r="D180" s="10" t="s">
        <v>254</v>
      </c>
      <c r="E180" s="10" t="s">
        <v>4</v>
      </c>
      <c r="F180" s="10" t="s">
        <v>1221</v>
      </c>
      <c r="G180" s="10" t="s">
        <v>68</v>
      </c>
      <c r="H180" s="10" t="s">
        <v>175</v>
      </c>
      <c r="I180" s="10" t="s">
        <v>1211</v>
      </c>
      <c r="J180" s="10" t="s">
        <v>1123</v>
      </c>
      <c r="P180" s="10" t="s">
        <v>49</v>
      </c>
      <c r="Q180" s="10" t="n">
        <v>619.9862272</v>
      </c>
      <c r="R180" s="10" t="n">
        <v>619.9862272</v>
      </c>
      <c r="T180" s="10" t="n">
        <v>0.05</v>
      </c>
      <c r="U180" s="10" t="n">
        <v>0.2</v>
      </c>
      <c r="V180" s="10" t="n">
        <v>0.06</v>
      </c>
      <c r="W180" s="10" t="n">
        <v>1.2</v>
      </c>
      <c r="X180" s="10" t="n">
        <v>0.12</v>
      </c>
      <c r="Y180" s="10" t="n">
        <v>1.344</v>
      </c>
      <c r="Z180" s="10" t="n">
        <v>870.4606629888</v>
      </c>
    </row>
    <row r="181" customFormat="false" ht="13.5" hidden="false" customHeight="true" outlineLevel="0" collapsed="false">
      <c r="C181" s="10" t="s">
        <v>35</v>
      </c>
      <c r="D181" s="10" t="s">
        <v>254</v>
      </c>
      <c r="E181" s="10" t="s">
        <v>4</v>
      </c>
      <c r="F181" s="10" t="s">
        <v>1222</v>
      </c>
      <c r="G181" s="10" t="s">
        <v>68</v>
      </c>
      <c r="H181" s="10" t="s">
        <v>166</v>
      </c>
      <c r="I181" s="10" t="s">
        <v>110</v>
      </c>
      <c r="J181" s="10" t="s">
        <v>1109</v>
      </c>
      <c r="P181" s="10" t="s">
        <v>47</v>
      </c>
      <c r="Q181" s="10" t="n">
        <v>46.74115</v>
      </c>
      <c r="R181" s="10" t="n">
        <v>46.74115</v>
      </c>
      <c r="T181" s="10" t="n">
        <v>10</v>
      </c>
      <c r="U181" s="10" t="n">
        <v>0.2</v>
      </c>
      <c r="V181" s="10" t="n">
        <v>12</v>
      </c>
      <c r="W181" s="10" t="n">
        <v>98</v>
      </c>
      <c r="X181" s="10" t="n">
        <v>0.12</v>
      </c>
      <c r="Y181" s="10" t="n">
        <v>109.76</v>
      </c>
      <c r="Z181" s="10" t="n">
        <v>5691.202424</v>
      </c>
    </row>
    <row r="182" customFormat="false" ht="13.5" hidden="false" customHeight="true" outlineLevel="0" collapsed="false">
      <c r="C182" s="10" t="s">
        <v>35</v>
      </c>
      <c r="D182" s="10" t="s">
        <v>254</v>
      </c>
      <c r="E182" s="10" t="s">
        <v>4</v>
      </c>
      <c r="F182" s="10" t="s">
        <v>1222</v>
      </c>
      <c r="G182" s="10" t="s">
        <v>68</v>
      </c>
      <c r="H182" s="10" t="s">
        <v>166</v>
      </c>
      <c r="I182" s="10" t="s">
        <v>153</v>
      </c>
      <c r="J182" s="10" t="s">
        <v>153</v>
      </c>
      <c r="P182" s="10" t="s">
        <v>45</v>
      </c>
      <c r="Q182" s="10" t="n">
        <v>446.526</v>
      </c>
      <c r="R182" s="10" t="n">
        <v>446.526</v>
      </c>
      <c r="T182" s="10" t="n">
        <v>6</v>
      </c>
      <c r="U182" s="10" t="n">
        <v>0.2</v>
      </c>
      <c r="V182" s="10" t="n">
        <v>7.2</v>
      </c>
      <c r="W182" s="10" t="n">
        <v>5</v>
      </c>
      <c r="X182" s="10" t="n">
        <v>0.12</v>
      </c>
      <c r="Y182" s="10" t="n">
        <v>5.6</v>
      </c>
      <c r="Z182" s="10" t="n">
        <v>5715.5328</v>
      </c>
    </row>
    <row r="183" customFormat="false" ht="13.5" hidden="false" customHeight="true" outlineLevel="0" collapsed="false">
      <c r="C183" s="10" t="s">
        <v>35</v>
      </c>
      <c r="D183" s="10" t="s">
        <v>254</v>
      </c>
      <c r="E183" s="10" t="s">
        <v>4</v>
      </c>
      <c r="F183" s="10" t="s">
        <v>1222</v>
      </c>
      <c r="G183" s="10" t="s">
        <v>68</v>
      </c>
      <c r="H183" s="10" t="s">
        <v>166</v>
      </c>
      <c r="I183" s="10" t="s">
        <v>111</v>
      </c>
      <c r="J183" s="10" t="s">
        <v>1117</v>
      </c>
      <c r="P183" s="10" t="s">
        <v>49</v>
      </c>
      <c r="Q183" s="10" t="n">
        <v>624.1948</v>
      </c>
      <c r="R183" s="10" t="n">
        <v>624.1948</v>
      </c>
      <c r="T183" s="10" t="n">
        <v>0.12</v>
      </c>
      <c r="U183" s="10" t="n">
        <v>0.2</v>
      </c>
      <c r="V183" s="10" t="n">
        <v>0.144</v>
      </c>
      <c r="W183" s="10" t="n">
        <v>0.77</v>
      </c>
      <c r="X183" s="10" t="n">
        <v>0.12</v>
      </c>
      <c r="Y183" s="10" t="n">
        <v>0.8624</v>
      </c>
      <c r="Z183" s="10" t="n">
        <v>628.18964672</v>
      </c>
    </row>
    <row r="184" customFormat="false" ht="13.5" hidden="false" customHeight="true" outlineLevel="0" collapsed="false">
      <c r="C184" s="10" t="s">
        <v>35</v>
      </c>
      <c r="D184" s="10" t="s">
        <v>254</v>
      </c>
      <c r="E184" s="10" t="s">
        <v>4</v>
      </c>
      <c r="F184" s="10" t="s">
        <v>1222</v>
      </c>
      <c r="G184" s="10" t="s">
        <v>68</v>
      </c>
      <c r="H184" s="10" t="s">
        <v>166</v>
      </c>
      <c r="I184" s="10" t="s">
        <v>111</v>
      </c>
      <c r="J184" s="10" t="s">
        <v>1100</v>
      </c>
      <c r="P184" s="10" t="s">
        <v>49</v>
      </c>
      <c r="Q184" s="10" t="n">
        <v>2823.61142</v>
      </c>
      <c r="R184" s="10" t="n">
        <v>2823.61142</v>
      </c>
      <c r="T184" s="10" t="n">
        <v>0.12</v>
      </c>
      <c r="U184" s="10" t="n">
        <v>0.2</v>
      </c>
      <c r="V184" s="10" t="n">
        <v>0.144</v>
      </c>
      <c r="W184" s="10" t="n">
        <v>0.78</v>
      </c>
      <c r="X184" s="10" t="n">
        <v>0.12</v>
      </c>
      <c r="Y184" s="10" t="n">
        <v>0.8736</v>
      </c>
      <c r="Z184" s="10" t="n">
        <v>2873.306980992</v>
      </c>
    </row>
    <row r="185" customFormat="false" ht="13.5" hidden="false" customHeight="true" outlineLevel="0" collapsed="false">
      <c r="C185" s="10" t="s">
        <v>35</v>
      </c>
      <c r="D185" s="10" t="s">
        <v>254</v>
      </c>
      <c r="E185" s="10" t="s">
        <v>4</v>
      </c>
      <c r="F185" s="10" t="s">
        <v>1222</v>
      </c>
      <c r="G185" s="10" t="s">
        <v>68</v>
      </c>
      <c r="H185" s="10" t="s">
        <v>166</v>
      </c>
      <c r="I185" s="10" t="s">
        <v>111</v>
      </c>
      <c r="J185" s="10" t="s">
        <v>1101</v>
      </c>
      <c r="P185" s="10" t="s">
        <v>49</v>
      </c>
      <c r="Q185" s="10" t="n">
        <v>295.33104</v>
      </c>
      <c r="R185" s="10" t="n">
        <v>295.33104</v>
      </c>
      <c r="T185" s="10" t="n">
        <v>0.11</v>
      </c>
      <c r="U185" s="10" t="n">
        <v>0.2</v>
      </c>
      <c r="V185" s="10" t="n">
        <v>0.132</v>
      </c>
      <c r="W185" s="10" t="n">
        <v>0.76</v>
      </c>
      <c r="X185" s="10" t="n">
        <v>0.12</v>
      </c>
      <c r="Y185" s="10" t="n">
        <v>0.8512</v>
      </c>
      <c r="Z185" s="10" t="n">
        <v>290.369478528</v>
      </c>
    </row>
    <row r="186" customFormat="false" ht="13.5" hidden="false" customHeight="true" outlineLevel="0" collapsed="false">
      <c r="C186" s="10" t="s">
        <v>35</v>
      </c>
      <c r="D186" s="10" t="s">
        <v>254</v>
      </c>
      <c r="E186" s="10" t="s">
        <v>4</v>
      </c>
      <c r="F186" s="10" t="s">
        <v>1222</v>
      </c>
      <c r="G186" s="10" t="s">
        <v>68</v>
      </c>
      <c r="H186" s="10" t="s">
        <v>166</v>
      </c>
      <c r="I186" s="10" t="s">
        <v>111</v>
      </c>
      <c r="J186" s="10" t="s">
        <v>1103</v>
      </c>
      <c r="P186" s="10" t="s">
        <v>49</v>
      </c>
      <c r="Q186" s="10" t="n">
        <v>2411.8152</v>
      </c>
      <c r="R186" s="10" t="n">
        <v>2411.8152</v>
      </c>
      <c r="T186" s="10" t="n">
        <v>0.1</v>
      </c>
      <c r="U186" s="10" t="n">
        <v>0.2</v>
      </c>
      <c r="V186" s="10" t="n">
        <v>0.12</v>
      </c>
      <c r="W186" s="10" t="n">
        <v>0.74</v>
      </c>
      <c r="X186" s="10" t="n">
        <v>0.12</v>
      </c>
      <c r="Y186" s="10" t="n">
        <v>0.8288</v>
      </c>
      <c r="Z186" s="10" t="n">
        <v>2288.33026176</v>
      </c>
    </row>
    <row r="187" customFormat="false" ht="13.5" hidden="false" customHeight="true" outlineLevel="0" collapsed="false">
      <c r="C187" s="10" t="s">
        <v>35</v>
      </c>
      <c r="D187" s="10" t="s">
        <v>254</v>
      </c>
      <c r="E187" s="10" t="s">
        <v>4</v>
      </c>
      <c r="F187" s="10" t="s">
        <v>1222</v>
      </c>
      <c r="G187" s="10" t="s">
        <v>68</v>
      </c>
      <c r="H187" s="10" t="s">
        <v>166</v>
      </c>
      <c r="I187" s="10" t="s">
        <v>111</v>
      </c>
      <c r="J187" s="10" t="s">
        <v>1104</v>
      </c>
      <c r="P187" s="10" t="s">
        <v>49</v>
      </c>
      <c r="Q187" s="10" t="n">
        <v>1819.6614</v>
      </c>
      <c r="R187" s="10" t="n">
        <v>1819.6614</v>
      </c>
      <c r="T187" s="10" t="n">
        <v>0.09</v>
      </c>
      <c r="U187" s="10" t="n">
        <v>0.2</v>
      </c>
      <c r="V187" s="10" t="n">
        <v>0.108</v>
      </c>
      <c r="W187" s="10" t="n">
        <v>0.73</v>
      </c>
      <c r="X187" s="10" t="n">
        <v>0.12</v>
      </c>
      <c r="Y187" s="10" t="n">
        <v>0.8176</v>
      </c>
      <c r="Z187" s="10" t="n">
        <v>1684.27859184</v>
      </c>
    </row>
    <row r="188" customFormat="false" ht="13.5" hidden="false" customHeight="true" outlineLevel="0" collapsed="false">
      <c r="C188" s="10" t="s">
        <v>35</v>
      </c>
      <c r="D188" s="10" t="s">
        <v>254</v>
      </c>
      <c r="E188" s="10" t="s">
        <v>4</v>
      </c>
      <c r="F188" s="10" t="s">
        <v>1222</v>
      </c>
      <c r="G188" s="10" t="s">
        <v>68</v>
      </c>
      <c r="H188" s="10" t="s">
        <v>166</v>
      </c>
      <c r="I188" s="10" t="s">
        <v>111</v>
      </c>
      <c r="J188" s="10" t="s">
        <v>1105</v>
      </c>
      <c r="P188" s="10" t="s">
        <v>49</v>
      </c>
      <c r="Q188" s="10" t="n">
        <v>7527.2208</v>
      </c>
      <c r="R188" s="10" t="n">
        <v>7527.2208</v>
      </c>
      <c r="T188" s="10" t="n">
        <v>0.08</v>
      </c>
      <c r="U188" s="10" t="n">
        <v>0.2</v>
      </c>
      <c r="V188" s="10" t="n">
        <v>0.096</v>
      </c>
      <c r="W188" s="10" t="n">
        <v>0.72</v>
      </c>
      <c r="X188" s="10" t="n">
        <v>0.12</v>
      </c>
      <c r="Y188" s="10" t="n">
        <v>0.8064</v>
      </c>
      <c r="Z188" s="10" t="n">
        <v>6792.56404992</v>
      </c>
    </row>
    <row r="189" customFormat="false" ht="13.5" hidden="false" customHeight="true" outlineLevel="0" collapsed="false">
      <c r="C189" s="10" t="s">
        <v>35</v>
      </c>
      <c r="D189" s="10" t="s">
        <v>254</v>
      </c>
      <c r="E189" s="10" t="s">
        <v>4</v>
      </c>
      <c r="F189" s="10" t="s">
        <v>1222</v>
      </c>
      <c r="G189" s="10" t="s">
        <v>68</v>
      </c>
      <c r="H189" s="10" t="s">
        <v>166</v>
      </c>
      <c r="I189" s="10" t="s">
        <v>1211</v>
      </c>
      <c r="J189" s="10" t="s">
        <v>1123</v>
      </c>
      <c r="P189" s="10" t="s">
        <v>49</v>
      </c>
      <c r="Q189" s="10" t="n">
        <v>620.0733864</v>
      </c>
      <c r="R189" s="10" t="n">
        <v>620.0733864</v>
      </c>
      <c r="T189" s="10" t="n">
        <v>0.05</v>
      </c>
      <c r="U189" s="10" t="n">
        <v>0.2</v>
      </c>
      <c r="V189" s="10" t="n">
        <v>0.06</v>
      </c>
      <c r="W189" s="10" t="n">
        <v>1.2</v>
      </c>
      <c r="X189" s="10" t="n">
        <v>0.12</v>
      </c>
      <c r="Y189" s="10" t="n">
        <v>1.344</v>
      </c>
      <c r="Z189" s="10" t="n">
        <v>870.5830345056</v>
      </c>
    </row>
    <row r="190" customFormat="false" ht="13.5" hidden="false" customHeight="true" outlineLevel="0" collapsed="false">
      <c r="C190" s="10" t="s">
        <v>35</v>
      </c>
      <c r="D190" s="10" t="s">
        <v>254</v>
      </c>
      <c r="E190" s="10" t="s">
        <v>4</v>
      </c>
      <c r="F190" s="10" t="s">
        <v>1222</v>
      </c>
      <c r="G190" s="10" t="s">
        <v>68</v>
      </c>
      <c r="H190" s="10" t="s">
        <v>170</v>
      </c>
      <c r="I190" s="10" t="s">
        <v>110</v>
      </c>
      <c r="J190" s="10" t="s">
        <v>1109</v>
      </c>
      <c r="P190" s="10" t="s">
        <v>47</v>
      </c>
      <c r="Q190" s="10" t="n">
        <v>87.15</v>
      </c>
      <c r="R190" s="10" t="n">
        <v>87.15</v>
      </c>
      <c r="T190" s="10" t="n">
        <v>10</v>
      </c>
      <c r="U190" s="10" t="n">
        <v>0.2</v>
      </c>
      <c r="V190" s="10" t="n">
        <v>12</v>
      </c>
      <c r="W190" s="10" t="n">
        <v>98</v>
      </c>
      <c r="X190" s="10" t="n">
        <v>0.12</v>
      </c>
      <c r="Y190" s="10" t="n">
        <v>109.76</v>
      </c>
      <c r="Z190" s="10" t="n">
        <v>10611.384</v>
      </c>
    </row>
    <row r="191" customFormat="false" ht="13.5" hidden="false" customHeight="true" outlineLevel="0" collapsed="false">
      <c r="C191" s="10" t="s">
        <v>35</v>
      </c>
      <c r="D191" s="10" t="s">
        <v>254</v>
      </c>
      <c r="E191" s="10" t="s">
        <v>4</v>
      </c>
      <c r="F191" s="10" t="s">
        <v>1222</v>
      </c>
      <c r="G191" s="10" t="s">
        <v>68</v>
      </c>
      <c r="H191" s="10" t="s">
        <v>170</v>
      </c>
      <c r="I191" s="10" t="s">
        <v>153</v>
      </c>
      <c r="J191" s="10" t="s">
        <v>153</v>
      </c>
      <c r="P191" s="10" t="s">
        <v>45</v>
      </c>
      <c r="Q191" s="10" t="n">
        <v>581</v>
      </c>
      <c r="R191" s="10" t="n">
        <v>581</v>
      </c>
      <c r="T191" s="10" t="n">
        <v>6</v>
      </c>
      <c r="U191" s="10" t="n">
        <v>0.2</v>
      </c>
      <c r="V191" s="10" t="n">
        <v>7.2</v>
      </c>
      <c r="W191" s="10" t="n">
        <v>5</v>
      </c>
      <c r="X191" s="10" t="n">
        <v>0.12</v>
      </c>
      <c r="Y191" s="10" t="n">
        <v>5.6</v>
      </c>
      <c r="Z191" s="10" t="n">
        <v>7436.8</v>
      </c>
    </row>
    <row r="192" customFormat="false" ht="13.5" hidden="false" customHeight="true" outlineLevel="0" collapsed="false">
      <c r="C192" s="10" t="s">
        <v>35</v>
      </c>
      <c r="D192" s="10" t="s">
        <v>254</v>
      </c>
      <c r="E192" s="10" t="s">
        <v>4</v>
      </c>
      <c r="F192" s="10" t="s">
        <v>1222</v>
      </c>
      <c r="G192" s="10" t="s">
        <v>68</v>
      </c>
      <c r="H192" s="10" t="s">
        <v>170</v>
      </c>
      <c r="I192" s="10" t="s">
        <v>111</v>
      </c>
      <c r="J192" s="10" t="s">
        <v>1100</v>
      </c>
      <c r="P192" s="10" t="s">
        <v>49</v>
      </c>
      <c r="Q192" s="10" t="n">
        <v>11514.5</v>
      </c>
      <c r="R192" s="10" t="n">
        <v>11514.5</v>
      </c>
      <c r="T192" s="10" t="n">
        <v>0.12</v>
      </c>
      <c r="U192" s="10" t="n">
        <v>0.2</v>
      </c>
      <c r="V192" s="10" t="n">
        <v>0.144</v>
      </c>
      <c r="W192" s="10" t="n">
        <v>0.78</v>
      </c>
      <c r="X192" s="10" t="n">
        <v>0.12</v>
      </c>
      <c r="Y192" s="10" t="n">
        <v>0.8736</v>
      </c>
      <c r="Z192" s="10" t="n">
        <v>11717.1552</v>
      </c>
    </row>
    <row r="193" customFormat="false" ht="13.5" hidden="false" customHeight="true" outlineLevel="0" collapsed="false">
      <c r="C193" s="10" t="s">
        <v>35</v>
      </c>
      <c r="D193" s="10" t="s">
        <v>254</v>
      </c>
      <c r="E193" s="10" t="s">
        <v>4</v>
      </c>
      <c r="F193" s="10" t="s">
        <v>1222</v>
      </c>
      <c r="G193" s="10" t="s">
        <v>68</v>
      </c>
      <c r="H193" s="10" t="s">
        <v>170</v>
      </c>
      <c r="I193" s="10" t="s">
        <v>111</v>
      </c>
      <c r="J193" s="10" t="s">
        <v>1101</v>
      </c>
      <c r="P193" s="10" t="s">
        <v>49</v>
      </c>
      <c r="Q193" s="10" t="n">
        <v>166.5</v>
      </c>
      <c r="R193" s="10" t="n">
        <v>166.5</v>
      </c>
      <c r="T193" s="10" t="n">
        <v>0.11</v>
      </c>
      <c r="U193" s="10" t="n">
        <v>0.2</v>
      </c>
      <c r="V193" s="10" t="n">
        <v>0.132</v>
      </c>
      <c r="W193" s="10" t="n">
        <v>0.76</v>
      </c>
      <c r="X193" s="10" t="n">
        <v>0.12</v>
      </c>
      <c r="Y193" s="10" t="n">
        <v>0.8512</v>
      </c>
      <c r="Z193" s="10" t="n">
        <v>163.7028</v>
      </c>
    </row>
    <row r="194" customFormat="false" ht="13.5" hidden="false" customHeight="true" outlineLevel="0" collapsed="false">
      <c r="C194" s="10" t="s">
        <v>35</v>
      </c>
      <c r="D194" s="10" t="s">
        <v>254</v>
      </c>
      <c r="E194" s="10" t="s">
        <v>4</v>
      </c>
      <c r="F194" s="10" t="s">
        <v>1222</v>
      </c>
      <c r="G194" s="10" t="s">
        <v>68</v>
      </c>
      <c r="H194" s="10" t="s">
        <v>170</v>
      </c>
      <c r="I194" s="10" t="s">
        <v>1211</v>
      </c>
      <c r="J194" s="10" t="s">
        <v>1123</v>
      </c>
      <c r="P194" s="10" t="s">
        <v>49</v>
      </c>
      <c r="Q194" s="10" t="n">
        <v>467.24</v>
      </c>
      <c r="R194" s="10" t="n">
        <v>467.24</v>
      </c>
      <c r="T194" s="10" t="n">
        <v>0.05</v>
      </c>
      <c r="U194" s="10" t="n">
        <v>0.2</v>
      </c>
      <c r="V194" s="10" t="n">
        <v>0.06</v>
      </c>
      <c r="W194" s="10" t="n">
        <v>1.2</v>
      </c>
      <c r="X194" s="10" t="n">
        <v>0.12</v>
      </c>
      <c r="Y194" s="10" t="n">
        <v>1.344</v>
      </c>
      <c r="Z194" s="10" t="n">
        <v>656.00496</v>
      </c>
    </row>
    <row r="195" customFormat="false" ht="13.5" hidden="false" customHeight="true" outlineLevel="0" collapsed="false">
      <c r="C195" s="10" t="s">
        <v>35</v>
      </c>
      <c r="D195" s="10" t="s">
        <v>254</v>
      </c>
      <c r="E195" s="10" t="s">
        <v>4</v>
      </c>
      <c r="F195" s="10" t="s">
        <v>1222</v>
      </c>
      <c r="G195" s="10" t="s">
        <v>68</v>
      </c>
      <c r="H195" s="10" t="s">
        <v>1218</v>
      </c>
      <c r="I195" s="10" t="s">
        <v>110</v>
      </c>
      <c r="J195" s="10" t="s">
        <v>1109</v>
      </c>
      <c r="P195" s="10" t="s">
        <v>47</v>
      </c>
      <c r="Q195" s="10" t="n">
        <v>23.43</v>
      </c>
      <c r="R195" s="10" t="n">
        <v>23.43</v>
      </c>
      <c r="T195" s="10" t="n">
        <v>10</v>
      </c>
      <c r="U195" s="10" t="n">
        <v>0.2</v>
      </c>
      <c r="V195" s="10" t="n">
        <v>12</v>
      </c>
      <c r="W195" s="10" t="n">
        <v>98</v>
      </c>
      <c r="X195" s="10" t="n">
        <v>0.12</v>
      </c>
      <c r="Y195" s="10" t="n">
        <v>109.76</v>
      </c>
      <c r="Z195" s="10" t="n">
        <v>2852.8368</v>
      </c>
    </row>
    <row r="196" customFormat="false" ht="13.5" hidden="false" customHeight="true" outlineLevel="0" collapsed="false">
      <c r="C196" s="10" t="s">
        <v>35</v>
      </c>
      <c r="D196" s="10" t="s">
        <v>254</v>
      </c>
      <c r="E196" s="10" t="s">
        <v>4</v>
      </c>
      <c r="F196" s="10" t="s">
        <v>1222</v>
      </c>
      <c r="G196" s="10" t="s">
        <v>68</v>
      </c>
      <c r="H196" s="10" t="s">
        <v>1218</v>
      </c>
      <c r="I196" s="10" t="s">
        <v>153</v>
      </c>
      <c r="J196" s="10" t="s">
        <v>153</v>
      </c>
      <c r="P196" s="10" t="s">
        <v>45</v>
      </c>
      <c r="Q196" s="10" t="n">
        <v>139.7</v>
      </c>
      <c r="R196" s="10" t="n">
        <v>139.7</v>
      </c>
      <c r="T196" s="10" t="n">
        <v>6</v>
      </c>
      <c r="U196" s="10" t="n">
        <v>0.2</v>
      </c>
      <c r="V196" s="10" t="n">
        <v>7.2</v>
      </c>
      <c r="W196" s="10" t="n">
        <v>5</v>
      </c>
      <c r="X196" s="10" t="n">
        <v>0.12</v>
      </c>
      <c r="Y196" s="10" t="n">
        <v>5.6</v>
      </c>
      <c r="Z196" s="10" t="n">
        <v>1788.16</v>
      </c>
    </row>
    <row r="197" customFormat="false" ht="13.5" hidden="false" customHeight="true" outlineLevel="0" collapsed="false">
      <c r="C197" s="10" t="s">
        <v>35</v>
      </c>
      <c r="D197" s="10" t="s">
        <v>254</v>
      </c>
      <c r="E197" s="10" t="s">
        <v>4</v>
      </c>
      <c r="F197" s="10" t="s">
        <v>1222</v>
      </c>
      <c r="G197" s="10" t="s">
        <v>68</v>
      </c>
      <c r="H197" s="10" t="s">
        <v>1218</v>
      </c>
      <c r="I197" s="10" t="s">
        <v>111</v>
      </c>
      <c r="J197" s="10" t="s">
        <v>1100</v>
      </c>
      <c r="P197" s="10" t="s">
        <v>49</v>
      </c>
      <c r="Q197" s="10" t="n">
        <v>241.864</v>
      </c>
      <c r="R197" s="10" t="n">
        <v>241.864</v>
      </c>
      <c r="T197" s="10" t="n">
        <v>0.12</v>
      </c>
      <c r="U197" s="10" t="n">
        <v>0.2</v>
      </c>
      <c r="V197" s="10" t="n">
        <v>0.144</v>
      </c>
      <c r="W197" s="10" t="n">
        <v>0.78</v>
      </c>
      <c r="X197" s="10" t="n">
        <v>0.12</v>
      </c>
      <c r="Y197" s="10" t="n">
        <v>0.8736</v>
      </c>
      <c r="Z197" s="10" t="n">
        <v>246.1208064</v>
      </c>
    </row>
    <row r="198" customFormat="false" ht="13.5" hidden="false" customHeight="true" outlineLevel="0" collapsed="false">
      <c r="C198" s="10" t="s">
        <v>35</v>
      </c>
      <c r="D198" s="10" t="s">
        <v>254</v>
      </c>
      <c r="E198" s="10" t="s">
        <v>4</v>
      </c>
      <c r="F198" s="10" t="s">
        <v>1222</v>
      </c>
      <c r="G198" s="10" t="s">
        <v>68</v>
      </c>
      <c r="H198" s="10" t="s">
        <v>1218</v>
      </c>
      <c r="I198" s="10" t="s">
        <v>111</v>
      </c>
      <c r="J198" s="10" t="s">
        <v>1101</v>
      </c>
      <c r="P198" s="10" t="s">
        <v>49</v>
      </c>
      <c r="Q198" s="10" t="n">
        <v>1071.6384</v>
      </c>
      <c r="R198" s="10" t="n">
        <v>1071.6384</v>
      </c>
      <c r="T198" s="10" t="n">
        <v>0.11</v>
      </c>
      <c r="U198" s="10" t="n">
        <v>0.2</v>
      </c>
      <c r="V198" s="10" t="n">
        <v>0.132</v>
      </c>
      <c r="W198" s="10" t="n">
        <v>0.76</v>
      </c>
      <c r="X198" s="10" t="n">
        <v>0.12</v>
      </c>
      <c r="Y198" s="10" t="n">
        <v>0.8512</v>
      </c>
      <c r="Z198" s="10" t="n">
        <v>1053.63487488</v>
      </c>
    </row>
    <row r="199" customFormat="false" ht="13.5" hidden="false" customHeight="true" outlineLevel="0" collapsed="false">
      <c r="C199" s="10" t="s">
        <v>35</v>
      </c>
      <c r="D199" s="10" t="s">
        <v>254</v>
      </c>
      <c r="E199" s="10" t="s">
        <v>4</v>
      </c>
      <c r="F199" s="10" t="s">
        <v>1222</v>
      </c>
      <c r="G199" s="10" t="s">
        <v>68</v>
      </c>
      <c r="H199" s="10" t="s">
        <v>1218</v>
      </c>
      <c r="I199" s="10" t="s">
        <v>111</v>
      </c>
      <c r="J199" s="10" t="s">
        <v>1103</v>
      </c>
      <c r="P199" s="10" t="s">
        <v>49</v>
      </c>
      <c r="Q199" s="10" t="n">
        <v>1659.632</v>
      </c>
      <c r="R199" s="10" t="n">
        <v>1659.632</v>
      </c>
      <c r="T199" s="10" t="n">
        <v>0.1</v>
      </c>
      <c r="U199" s="10" t="n">
        <v>0.2</v>
      </c>
      <c r="V199" s="10" t="n">
        <v>0.12</v>
      </c>
      <c r="W199" s="10" t="n">
        <v>0.74</v>
      </c>
      <c r="X199" s="10" t="n">
        <v>0.12</v>
      </c>
      <c r="Y199" s="10" t="n">
        <v>0.8288</v>
      </c>
      <c r="Z199" s="10" t="n">
        <v>1574.6588416</v>
      </c>
    </row>
    <row r="200" customFormat="false" ht="13.5" hidden="false" customHeight="true" outlineLevel="0" collapsed="false">
      <c r="C200" s="10" t="s">
        <v>35</v>
      </c>
      <c r="D200" s="10" t="s">
        <v>254</v>
      </c>
      <c r="E200" s="10" t="s">
        <v>4</v>
      </c>
      <c r="F200" s="10" t="s">
        <v>1222</v>
      </c>
      <c r="G200" s="10" t="s">
        <v>68</v>
      </c>
      <c r="H200" s="10" t="s">
        <v>1218</v>
      </c>
      <c r="I200" s="10" t="s">
        <v>111</v>
      </c>
      <c r="J200" s="10" t="s">
        <v>1104</v>
      </c>
      <c r="P200" s="10" t="s">
        <v>49</v>
      </c>
      <c r="Q200" s="10" t="n">
        <v>822.016</v>
      </c>
      <c r="R200" s="10" t="n">
        <v>822.016</v>
      </c>
      <c r="T200" s="10" t="n">
        <v>0.09</v>
      </c>
      <c r="U200" s="10" t="n">
        <v>0.2</v>
      </c>
      <c r="V200" s="10" t="n">
        <v>0.108</v>
      </c>
      <c r="W200" s="10" t="n">
        <v>0.73</v>
      </c>
      <c r="X200" s="10" t="n">
        <v>0.12</v>
      </c>
      <c r="Y200" s="10" t="n">
        <v>0.8176</v>
      </c>
      <c r="Z200" s="10" t="n">
        <v>760.8580096</v>
      </c>
    </row>
    <row r="201" customFormat="false" ht="13.5" hidden="false" customHeight="true" outlineLevel="0" collapsed="false">
      <c r="C201" s="10" t="s">
        <v>35</v>
      </c>
      <c r="D201" s="10" t="s">
        <v>254</v>
      </c>
      <c r="E201" s="10" t="s">
        <v>4</v>
      </c>
      <c r="F201" s="10" t="s">
        <v>1222</v>
      </c>
      <c r="G201" s="10" t="s">
        <v>68</v>
      </c>
      <c r="H201" s="10" t="s">
        <v>1218</v>
      </c>
      <c r="I201" s="10" t="s">
        <v>1211</v>
      </c>
      <c r="J201" s="10" t="s">
        <v>1123</v>
      </c>
      <c r="P201" s="10" t="s">
        <v>49</v>
      </c>
      <c r="Q201" s="10" t="n">
        <v>151.806016</v>
      </c>
      <c r="R201" s="10" t="n">
        <v>151.806016</v>
      </c>
      <c r="T201" s="10" t="n">
        <v>0.05</v>
      </c>
      <c r="U201" s="10" t="n">
        <v>0.2</v>
      </c>
      <c r="V201" s="10" t="n">
        <v>0.06</v>
      </c>
      <c r="W201" s="10" t="n">
        <v>1.2</v>
      </c>
      <c r="X201" s="10" t="n">
        <v>0.12</v>
      </c>
      <c r="Y201" s="10" t="n">
        <v>1.344</v>
      </c>
      <c r="Z201" s="10" t="n">
        <v>213.135646464</v>
      </c>
    </row>
    <row r="202" customFormat="false" ht="13.5" hidden="false" customHeight="true" outlineLevel="0" collapsed="false">
      <c r="C202" s="10" t="s">
        <v>35</v>
      </c>
      <c r="D202" s="10" t="s">
        <v>254</v>
      </c>
      <c r="E202" s="10" t="s">
        <v>4</v>
      </c>
      <c r="F202" s="10" t="s">
        <v>1222</v>
      </c>
      <c r="G202" s="10" t="s">
        <v>68</v>
      </c>
      <c r="H202" s="10" t="s">
        <v>180</v>
      </c>
      <c r="I202" s="10" t="s">
        <v>110</v>
      </c>
      <c r="J202" s="10" t="s">
        <v>1109</v>
      </c>
      <c r="P202" s="10" t="s">
        <v>47</v>
      </c>
      <c r="Q202" s="10" t="n">
        <v>5.016</v>
      </c>
      <c r="R202" s="10" t="n">
        <v>5.016</v>
      </c>
      <c r="T202" s="10" t="n">
        <v>10</v>
      </c>
      <c r="U202" s="10" t="n">
        <v>0.2</v>
      </c>
      <c r="V202" s="10" t="n">
        <v>12</v>
      </c>
      <c r="W202" s="10" t="n">
        <v>98</v>
      </c>
      <c r="X202" s="10" t="n">
        <v>0.12</v>
      </c>
      <c r="Y202" s="10" t="n">
        <v>109.76</v>
      </c>
      <c r="Z202" s="10" t="n">
        <v>610.74816</v>
      </c>
    </row>
    <row r="203" customFormat="false" ht="13.5" hidden="false" customHeight="true" outlineLevel="0" collapsed="false">
      <c r="C203" s="10" t="s">
        <v>35</v>
      </c>
      <c r="D203" s="10" t="s">
        <v>254</v>
      </c>
      <c r="E203" s="10" t="s">
        <v>4</v>
      </c>
      <c r="F203" s="10" t="s">
        <v>1222</v>
      </c>
      <c r="G203" s="10" t="s">
        <v>68</v>
      </c>
      <c r="H203" s="10" t="s">
        <v>180</v>
      </c>
      <c r="I203" s="10" t="s">
        <v>153</v>
      </c>
      <c r="J203" s="10" t="s">
        <v>153</v>
      </c>
      <c r="P203" s="10" t="s">
        <v>45</v>
      </c>
      <c r="Q203" s="10" t="n">
        <v>75.24</v>
      </c>
      <c r="R203" s="10" t="n">
        <v>75.24</v>
      </c>
      <c r="T203" s="10" t="n">
        <v>6</v>
      </c>
      <c r="U203" s="10" t="n">
        <v>0.2</v>
      </c>
      <c r="V203" s="10" t="n">
        <v>7.2</v>
      </c>
      <c r="W203" s="10" t="n">
        <v>5</v>
      </c>
      <c r="X203" s="10" t="n">
        <v>0.12</v>
      </c>
      <c r="Y203" s="10" t="n">
        <v>5.6</v>
      </c>
      <c r="Z203" s="10" t="n">
        <v>963.072</v>
      </c>
    </row>
    <row r="204" customFormat="false" ht="13.5" hidden="false" customHeight="true" outlineLevel="0" collapsed="false">
      <c r="C204" s="10" t="s">
        <v>35</v>
      </c>
      <c r="D204" s="10" t="s">
        <v>254</v>
      </c>
      <c r="E204" s="10" t="s">
        <v>4</v>
      </c>
      <c r="F204" s="10" t="s">
        <v>1222</v>
      </c>
      <c r="G204" s="10" t="s">
        <v>68</v>
      </c>
      <c r="H204" s="10" t="s">
        <v>180</v>
      </c>
      <c r="I204" s="10" t="s">
        <v>111</v>
      </c>
      <c r="J204" s="10" t="s">
        <v>1117</v>
      </c>
      <c r="P204" s="10" t="s">
        <v>49</v>
      </c>
      <c r="Q204" s="10" t="n">
        <v>50.16</v>
      </c>
      <c r="R204" s="10" t="n">
        <v>50.16</v>
      </c>
      <c r="T204" s="10" t="n">
        <v>0.12</v>
      </c>
      <c r="U204" s="10" t="n">
        <v>0.2</v>
      </c>
      <c r="V204" s="10" t="n">
        <v>0.144</v>
      </c>
      <c r="W204" s="10" t="n">
        <v>0.77</v>
      </c>
      <c r="X204" s="10" t="n">
        <v>0.12</v>
      </c>
      <c r="Y204" s="10" t="n">
        <v>0.8624</v>
      </c>
      <c r="Z204" s="10" t="n">
        <v>50.481024</v>
      </c>
    </row>
    <row r="205" customFormat="false" ht="13.5" hidden="false" customHeight="true" outlineLevel="0" collapsed="false">
      <c r="C205" s="10" t="s">
        <v>35</v>
      </c>
      <c r="D205" s="10" t="s">
        <v>254</v>
      </c>
      <c r="E205" s="10" t="s">
        <v>4</v>
      </c>
      <c r="F205" s="10" t="s">
        <v>1222</v>
      </c>
      <c r="G205" s="10" t="s">
        <v>68</v>
      </c>
      <c r="H205" s="10" t="s">
        <v>180</v>
      </c>
      <c r="I205" s="10" t="s">
        <v>111</v>
      </c>
      <c r="J205" s="10" t="s">
        <v>1101</v>
      </c>
      <c r="P205" s="10" t="s">
        <v>49</v>
      </c>
      <c r="Q205" s="10" t="n">
        <v>601.92</v>
      </c>
      <c r="R205" s="10" t="n">
        <v>601.92</v>
      </c>
      <c r="T205" s="10" t="n">
        <v>0.11</v>
      </c>
      <c r="U205" s="10" t="n">
        <v>0.2</v>
      </c>
      <c r="V205" s="10" t="n">
        <v>0.132</v>
      </c>
      <c r="W205" s="10" t="n">
        <v>0.76</v>
      </c>
      <c r="X205" s="10" t="n">
        <v>0.12</v>
      </c>
      <c r="Y205" s="10" t="n">
        <v>0.8512</v>
      </c>
      <c r="Z205" s="10" t="n">
        <v>591.807744</v>
      </c>
    </row>
    <row r="206" customFormat="false" ht="13.5" hidden="false" customHeight="true" outlineLevel="0" collapsed="false">
      <c r="C206" s="10" t="s">
        <v>35</v>
      </c>
      <c r="D206" s="10" t="s">
        <v>254</v>
      </c>
      <c r="E206" s="10" t="s">
        <v>4</v>
      </c>
      <c r="F206" s="10" t="s">
        <v>1222</v>
      </c>
      <c r="G206" s="10" t="s">
        <v>68</v>
      </c>
      <c r="H206" s="10" t="s">
        <v>180</v>
      </c>
      <c r="I206" s="10" t="s">
        <v>111</v>
      </c>
      <c r="J206" s="10" t="s">
        <v>1103</v>
      </c>
      <c r="P206" s="10" t="s">
        <v>49</v>
      </c>
      <c r="Q206" s="10" t="n">
        <v>125.4</v>
      </c>
      <c r="R206" s="10" t="n">
        <v>125.4</v>
      </c>
      <c r="T206" s="10" t="n">
        <v>0.1</v>
      </c>
      <c r="U206" s="10" t="n">
        <v>0.2</v>
      </c>
      <c r="V206" s="10" t="n">
        <v>0.12</v>
      </c>
      <c r="W206" s="10" t="n">
        <v>0.74</v>
      </c>
      <c r="X206" s="10" t="n">
        <v>0.12</v>
      </c>
      <c r="Y206" s="10" t="n">
        <v>0.8288</v>
      </c>
      <c r="Z206" s="10" t="n">
        <v>118.97952</v>
      </c>
    </row>
    <row r="207" customFormat="false" ht="13.5" hidden="false" customHeight="true" outlineLevel="0" collapsed="false">
      <c r="C207" s="10" t="s">
        <v>35</v>
      </c>
      <c r="D207" s="10" t="s">
        <v>254</v>
      </c>
      <c r="E207" s="10" t="s">
        <v>4</v>
      </c>
      <c r="F207" s="10" t="s">
        <v>1222</v>
      </c>
      <c r="G207" s="10" t="s">
        <v>68</v>
      </c>
      <c r="H207" s="10" t="s">
        <v>180</v>
      </c>
      <c r="I207" s="10" t="s">
        <v>1211</v>
      </c>
      <c r="J207" s="10" t="s">
        <v>1123</v>
      </c>
      <c r="P207" s="10" t="s">
        <v>49</v>
      </c>
      <c r="Q207" s="10" t="n">
        <v>31.0992</v>
      </c>
      <c r="R207" s="10" t="n">
        <v>31.0992</v>
      </c>
      <c r="T207" s="10" t="n">
        <v>0.05</v>
      </c>
      <c r="U207" s="10" t="n">
        <v>0.2</v>
      </c>
      <c r="V207" s="10" t="n">
        <v>0.06</v>
      </c>
      <c r="W207" s="10" t="n">
        <v>1.2</v>
      </c>
      <c r="X207" s="10" t="n">
        <v>0.12</v>
      </c>
      <c r="Y207" s="10" t="n">
        <v>1.344</v>
      </c>
      <c r="Z207" s="10" t="n">
        <v>43.6632768</v>
      </c>
    </row>
    <row r="208" customFormat="false" ht="13.5" hidden="false" customHeight="true" outlineLevel="0" collapsed="false">
      <c r="C208" s="10" t="s">
        <v>35</v>
      </c>
      <c r="D208" s="10" t="s">
        <v>254</v>
      </c>
      <c r="E208" s="10" t="s">
        <v>4</v>
      </c>
      <c r="F208" s="10" t="s">
        <v>1222</v>
      </c>
      <c r="G208" s="10" t="s">
        <v>68</v>
      </c>
      <c r="H208" s="10" t="s">
        <v>175</v>
      </c>
      <c r="I208" s="10" t="s">
        <v>110</v>
      </c>
      <c r="J208" s="10" t="s">
        <v>1109</v>
      </c>
      <c r="P208" s="10" t="s">
        <v>47</v>
      </c>
      <c r="Q208" s="10" t="n">
        <v>38.976</v>
      </c>
      <c r="R208" s="10" t="n">
        <v>38.976</v>
      </c>
      <c r="T208" s="10" t="n">
        <v>10</v>
      </c>
      <c r="U208" s="10" t="n">
        <v>0.2</v>
      </c>
      <c r="V208" s="10" t="n">
        <v>12</v>
      </c>
      <c r="W208" s="10" t="n">
        <v>98</v>
      </c>
      <c r="X208" s="10" t="n">
        <v>0.12</v>
      </c>
      <c r="Y208" s="10" t="n">
        <v>109.76</v>
      </c>
      <c r="Z208" s="10" t="n">
        <v>4745.71776</v>
      </c>
    </row>
    <row r="209" customFormat="false" ht="13.5" hidden="false" customHeight="true" outlineLevel="0" collapsed="false">
      <c r="C209" s="10" t="s">
        <v>35</v>
      </c>
      <c r="D209" s="10" t="s">
        <v>254</v>
      </c>
      <c r="E209" s="10" t="s">
        <v>4</v>
      </c>
      <c r="F209" s="10" t="s">
        <v>1222</v>
      </c>
      <c r="G209" s="10" t="s">
        <v>68</v>
      </c>
      <c r="H209" s="10" t="s">
        <v>175</v>
      </c>
      <c r="I209" s="10" t="s">
        <v>153</v>
      </c>
      <c r="J209" s="10" t="s">
        <v>153</v>
      </c>
      <c r="P209" s="10" t="s">
        <v>45</v>
      </c>
      <c r="Q209" s="10" t="n">
        <v>204.96</v>
      </c>
      <c r="R209" s="10" t="n">
        <v>204.96</v>
      </c>
      <c r="T209" s="10" t="n">
        <v>6</v>
      </c>
      <c r="U209" s="10" t="n">
        <v>0.2</v>
      </c>
      <c r="V209" s="10" t="n">
        <v>7.2</v>
      </c>
      <c r="W209" s="10" t="n">
        <v>5</v>
      </c>
      <c r="X209" s="10" t="n">
        <v>0.12</v>
      </c>
      <c r="Y209" s="10" t="n">
        <v>5.6</v>
      </c>
      <c r="Z209" s="10" t="n">
        <v>2623.488</v>
      </c>
    </row>
    <row r="210" customFormat="false" ht="13.5" hidden="false" customHeight="true" outlineLevel="0" collapsed="false">
      <c r="C210" s="10" t="s">
        <v>35</v>
      </c>
      <c r="D210" s="10" t="s">
        <v>254</v>
      </c>
      <c r="E210" s="10" t="s">
        <v>4</v>
      </c>
      <c r="F210" s="10" t="s">
        <v>1222</v>
      </c>
      <c r="G210" s="10" t="s">
        <v>68</v>
      </c>
      <c r="H210" s="10" t="s">
        <v>175</v>
      </c>
      <c r="I210" s="10" t="s">
        <v>111</v>
      </c>
      <c r="J210" s="10" t="s">
        <v>1101</v>
      </c>
      <c r="P210" s="10" t="s">
        <v>49</v>
      </c>
      <c r="Q210" s="10" t="n">
        <v>2720.1216</v>
      </c>
      <c r="R210" s="10" t="n">
        <v>2720.1216</v>
      </c>
      <c r="T210" s="10" t="n">
        <v>0.11</v>
      </c>
      <c r="U210" s="10" t="n">
        <v>0.2</v>
      </c>
      <c r="V210" s="10" t="n">
        <v>0.132</v>
      </c>
      <c r="W210" s="10" t="n">
        <v>0.76</v>
      </c>
      <c r="X210" s="10" t="n">
        <v>0.12</v>
      </c>
      <c r="Y210" s="10" t="n">
        <v>0.8512</v>
      </c>
      <c r="Z210" s="10" t="n">
        <v>2674.42355712</v>
      </c>
    </row>
    <row r="211" customFormat="false" ht="13.5" hidden="false" customHeight="true" outlineLevel="0" collapsed="false">
      <c r="C211" s="10" t="s">
        <v>35</v>
      </c>
      <c r="D211" s="10" t="s">
        <v>254</v>
      </c>
      <c r="E211" s="10" t="s">
        <v>4</v>
      </c>
      <c r="F211" s="10" t="s">
        <v>1222</v>
      </c>
      <c r="G211" s="10" t="s">
        <v>68</v>
      </c>
      <c r="H211" s="10" t="s">
        <v>175</v>
      </c>
      <c r="I211" s="10" t="s">
        <v>111</v>
      </c>
      <c r="J211" s="10" t="s">
        <v>1104</v>
      </c>
      <c r="P211" s="10" t="s">
        <v>49</v>
      </c>
      <c r="Q211" s="10" t="n">
        <v>1231.0272</v>
      </c>
      <c r="R211" s="10" t="n">
        <v>1231.0272</v>
      </c>
      <c r="T211" s="10" t="n">
        <v>0.09</v>
      </c>
      <c r="U211" s="10" t="n">
        <v>0.2</v>
      </c>
      <c r="V211" s="10" t="n">
        <v>0.108</v>
      </c>
      <c r="W211" s="10" t="n">
        <v>0.73</v>
      </c>
      <c r="X211" s="10" t="n">
        <v>0.12</v>
      </c>
      <c r="Y211" s="10" t="n">
        <v>0.8176</v>
      </c>
      <c r="Z211" s="10" t="n">
        <v>1139.43877632</v>
      </c>
    </row>
    <row r="212" customFormat="false" ht="13.5" hidden="false" customHeight="true" outlineLevel="0" collapsed="false">
      <c r="C212" s="10" t="s">
        <v>35</v>
      </c>
      <c r="D212" s="10" t="s">
        <v>254</v>
      </c>
      <c r="E212" s="10" t="s">
        <v>4</v>
      </c>
      <c r="F212" s="10" t="s">
        <v>1222</v>
      </c>
      <c r="G212" s="10" t="s">
        <v>68</v>
      </c>
      <c r="H212" s="10" t="s">
        <v>175</v>
      </c>
      <c r="I212" s="10" t="s">
        <v>111</v>
      </c>
      <c r="J212" s="10" t="s">
        <v>1105</v>
      </c>
      <c r="P212" s="10" t="s">
        <v>49</v>
      </c>
      <c r="Q212" s="10" t="n">
        <v>5365.9008</v>
      </c>
      <c r="R212" s="10" t="n">
        <v>5365.9008</v>
      </c>
      <c r="T212" s="10" t="n">
        <v>0.08</v>
      </c>
      <c r="U212" s="10" t="n">
        <v>0.2</v>
      </c>
      <c r="V212" s="10" t="n">
        <v>0.096</v>
      </c>
      <c r="W212" s="10" t="n">
        <v>0.72</v>
      </c>
      <c r="X212" s="10" t="n">
        <v>0.12</v>
      </c>
      <c r="Y212" s="10" t="n">
        <v>0.8064</v>
      </c>
      <c r="Z212" s="10" t="n">
        <v>4842.18888192</v>
      </c>
    </row>
    <row r="213" customFormat="false" ht="13.5" hidden="false" customHeight="true" outlineLevel="0" collapsed="false">
      <c r="C213" s="10" t="s">
        <v>35</v>
      </c>
      <c r="D213" s="10" t="s">
        <v>254</v>
      </c>
      <c r="E213" s="10" t="s">
        <v>4</v>
      </c>
      <c r="F213" s="10" t="s">
        <v>1222</v>
      </c>
      <c r="G213" s="10" t="s">
        <v>68</v>
      </c>
      <c r="H213" s="10" t="s">
        <v>175</v>
      </c>
      <c r="I213" s="10" t="s">
        <v>1211</v>
      </c>
      <c r="J213" s="10" t="s">
        <v>1123</v>
      </c>
      <c r="P213" s="10" t="s">
        <v>49</v>
      </c>
      <c r="Q213" s="10" t="n">
        <v>372.681984</v>
      </c>
      <c r="R213" s="10" t="n">
        <v>372.681984</v>
      </c>
      <c r="T213" s="10" t="n">
        <v>0.05</v>
      </c>
      <c r="U213" s="10" t="n">
        <v>0.2</v>
      </c>
      <c r="V213" s="10" t="n">
        <v>0.06</v>
      </c>
      <c r="W213" s="10" t="n">
        <v>1.2</v>
      </c>
      <c r="X213" s="10" t="n">
        <v>0.12</v>
      </c>
      <c r="Y213" s="10" t="n">
        <v>1.344</v>
      </c>
      <c r="Z213" s="10" t="n">
        <v>523.245505536</v>
      </c>
    </row>
    <row r="214" customFormat="false" ht="13.5" hidden="false" customHeight="true" outlineLevel="0" collapsed="false">
      <c r="C214" s="10" t="s">
        <v>35</v>
      </c>
      <c r="D214" s="10" t="s">
        <v>254</v>
      </c>
      <c r="E214" s="10" t="s">
        <v>4</v>
      </c>
      <c r="F214" s="10" t="s">
        <v>1223</v>
      </c>
      <c r="G214" s="10" t="s">
        <v>68</v>
      </c>
      <c r="H214" s="10" t="s">
        <v>166</v>
      </c>
      <c r="I214" s="10" t="s">
        <v>110</v>
      </c>
      <c r="J214" s="10" t="s">
        <v>1109</v>
      </c>
      <c r="P214" s="10" t="s">
        <v>47</v>
      </c>
      <c r="Q214" s="10" t="n">
        <v>46.74115</v>
      </c>
      <c r="R214" s="10" t="n">
        <v>46.74115</v>
      </c>
      <c r="T214" s="10" t="n">
        <v>10</v>
      </c>
      <c r="U214" s="10" t="n">
        <v>0.2</v>
      </c>
      <c r="V214" s="10" t="n">
        <v>12</v>
      </c>
      <c r="W214" s="10" t="n">
        <v>98</v>
      </c>
      <c r="X214" s="10" t="n">
        <v>0.12</v>
      </c>
      <c r="Y214" s="10" t="n">
        <v>109.76</v>
      </c>
      <c r="Z214" s="10" t="n">
        <v>5691.202424</v>
      </c>
    </row>
    <row r="215" customFormat="false" ht="13.5" hidden="false" customHeight="true" outlineLevel="0" collapsed="false">
      <c r="C215" s="10" t="s">
        <v>35</v>
      </c>
      <c r="D215" s="10" t="s">
        <v>254</v>
      </c>
      <c r="E215" s="10" t="s">
        <v>4</v>
      </c>
      <c r="F215" s="10" t="s">
        <v>1223</v>
      </c>
      <c r="G215" s="10" t="s">
        <v>68</v>
      </c>
      <c r="H215" s="10" t="s">
        <v>166</v>
      </c>
      <c r="I215" s="10" t="s">
        <v>153</v>
      </c>
      <c r="J215" s="10" t="s">
        <v>153</v>
      </c>
      <c r="P215" s="10" t="s">
        <v>45</v>
      </c>
      <c r="Q215" s="10" t="n">
        <v>446.526</v>
      </c>
      <c r="R215" s="10" t="n">
        <v>446.526</v>
      </c>
      <c r="T215" s="10" t="n">
        <v>6</v>
      </c>
      <c r="U215" s="10" t="n">
        <v>0.2</v>
      </c>
      <c r="V215" s="10" t="n">
        <v>7.2</v>
      </c>
      <c r="W215" s="10" t="n">
        <v>5</v>
      </c>
      <c r="X215" s="10" t="n">
        <v>0.12</v>
      </c>
      <c r="Y215" s="10" t="n">
        <v>5.6</v>
      </c>
      <c r="Z215" s="10" t="n">
        <v>5715.5328</v>
      </c>
    </row>
    <row r="216" customFormat="false" ht="13.5" hidden="false" customHeight="true" outlineLevel="0" collapsed="false">
      <c r="C216" s="10" t="s">
        <v>35</v>
      </c>
      <c r="D216" s="10" t="s">
        <v>254</v>
      </c>
      <c r="E216" s="10" t="s">
        <v>4</v>
      </c>
      <c r="F216" s="10" t="s">
        <v>1223</v>
      </c>
      <c r="G216" s="10" t="s">
        <v>68</v>
      </c>
      <c r="H216" s="10" t="s">
        <v>166</v>
      </c>
      <c r="I216" s="10" t="s">
        <v>111</v>
      </c>
      <c r="J216" s="10" t="s">
        <v>1117</v>
      </c>
      <c r="P216" s="10" t="s">
        <v>49</v>
      </c>
      <c r="Q216" s="10" t="n">
        <v>624.1948</v>
      </c>
      <c r="R216" s="10" t="n">
        <v>624.1948</v>
      </c>
      <c r="T216" s="10" t="n">
        <v>0.12</v>
      </c>
      <c r="U216" s="10" t="n">
        <v>0.2</v>
      </c>
      <c r="V216" s="10" t="n">
        <v>0.144</v>
      </c>
      <c r="W216" s="10" t="n">
        <v>0.77</v>
      </c>
      <c r="X216" s="10" t="n">
        <v>0.12</v>
      </c>
      <c r="Y216" s="10" t="n">
        <v>0.8624</v>
      </c>
      <c r="Z216" s="10" t="n">
        <v>628.18964672</v>
      </c>
    </row>
    <row r="217" customFormat="false" ht="13.5" hidden="false" customHeight="true" outlineLevel="0" collapsed="false">
      <c r="C217" s="10" t="s">
        <v>35</v>
      </c>
      <c r="D217" s="10" t="s">
        <v>254</v>
      </c>
      <c r="E217" s="10" t="s">
        <v>4</v>
      </c>
      <c r="F217" s="10" t="s">
        <v>1223</v>
      </c>
      <c r="G217" s="10" t="s">
        <v>68</v>
      </c>
      <c r="H217" s="10" t="s">
        <v>166</v>
      </c>
      <c r="I217" s="10" t="s">
        <v>111</v>
      </c>
      <c r="J217" s="10" t="s">
        <v>1100</v>
      </c>
      <c r="P217" s="10" t="s">
        <v>49</v>
      </c>
      <c r="Q217" s="10" t="n">
        <v>2823.61142</v>
      </c>
      <c r="R217" s="10" t="n">
        <v>2823.61142</v>
      </c>
      <c r="T217" s="10" t="n">
        <v>0.12</v>
      </c>
      <c r="U217" s="10" t="n">
        <v>0.2</v>
      </c>
      <c r="V217" s="10" t="n">
        <v>0.144</v>
      </c>
      <c r="W217" s="10" t="n">
        <v>0.78</v>
      </c>
      <c r="X217" s="10" t="n">
        <v>0.12</v>
      </c>
      <c r="Y217" s="10" t="n">
        <v>0.8736</v>
      </c>
      <c r="Z217" s="10" t="n">
        <v>2873.306980992</v>
      </c>
    </row>
    <row r="218" customFormat="false" ht="13.5" hidden="false" customHeight="true" outlineLevel="0" collapsed="false">
      <c r="C218" s="10" t="s">
        <v>35</v>
      </c>
      <c r="D218" s="10" t="s">
        <v>254</v>
      </c>
      <c r="E218" s="10" t="s">
        <v>4</v>
      </c>
      <c r="F218" s="10" t="s">
        <v>1223</v>
      </c>
      <c r="G218" s="10" t="s">
        <v>68</v>
      </c>
      <c r="H218" s="10" t="s">
        <v>166</v>
      </c>
      <c r="I218" s="10" t="s">
        <v>111</v>
      </c>
      <c r="J218" s="10" t="s">
        <v>1101</v>
      </c>
      <c r="P218" s="10" t="s">
        <v>49</v>
      </c>
      <c r="Q218" s="10" t="n">
        <v>295.33104</v>
      </c>
      <c r="R218" s="10" t="n">
        <v>295.33104</v>
      </c>
      <c r="T218" s="10" t="n">
        <v>0.11</v>
      </c>
      <c r="U218" s="10" t="n">
        <v>0.2</v>
      </c>
      <c r="V218" s="10" t="n">
        <v>0.132</v>
      </c>
      <c r="W218" s="10" t="n">
        <v>0.76</v>
      </c>
      <c r="X218" s="10" t="n">
        <v>0.12</v>
      </c>
      <c r="Y218" s="10" t="n">
        <v>0.8512</v>
      </c>
      <c r="Z218" s="10" t="n">
        <v>290.369478528</v>
      </c>
    </row>
    <row r="219" customFormat="false" ht="13.5" hidden="false" customHeight="true" outlineLevel="0" collapsed="false">
      <c r="C219" s="10" t="s">
        <v>35</v>
      </c>
      <c r="D219" s="10" t="s">
        <v>254</v>
      </c>
      <c r="E219" s="10" t="s">
        <v>4</v>
      </c>
      <c r="F219" s="10" t="s">
        <v>1223</v>
      </c>
      <c r="G219" s="10" t="s">
        <v>68</v>
      </c>
      <c r="H219" s="10" t="s">
        <v>166</v>
      </c>
      <c r="I219" s="10" t="s">
        <v>111</v>
      </c>
      <c r="J219" s="10" t="s">
        <v>1103</v>
      </c>
      <c r="P219" s="10" t="s">
        <v>49</v>
      </c>
      <c r="Q219" s="10" t="n">
        <v>2411.8152</v>
      </c>
      <c r="R219" s="10" t="n">
        <v>2411.8152</v>
      </c>
      <c r="T219" s="10" t="n">
        <v>0.1</v>
      </c>
      <c r="U219" s="10" t="n">
        <v>0.2</v>
      </c>
      <c r="V219" s="10" t="n">
        <v>0.12</v>
      </c>
      <c r="W219" s="10" t="n">
        <v>0.74</v>
      </c>
      <c r="X219" s="10" t="n">
        <v>0.12</v>
      </c>
      <c r="Y219" s="10" t="n">
        <v>0.8288</v>
      </c>
      <c r="Z219" s="10" t="n">
        <v>2288.33026176</v>
      </c>
    </row>
    <row r="220" customFormat="false" ht="13.5" hidden="false" customHeight="true" outlineLevel="0" collapsed="false">
      <c r="C220" s="10" t="s">
        <v>35</v>
      </c>
      <c r="D220" s="10" t="s">
        <v>254</v>
      </c>
      <c r="E220" s="10" t="s">
        <v>4</v>
      </c>
      <c r="F220" s="10" t="s">
        <v>1223</v>
      </c>
      <c r="G220" s="10" t="s">
        <v>68</v>
      </c>
      <c r="H220" s="10" t="s">
        <v>166</v>
      </c>
      <c r="I220" s="10" t="s">
        <v>111</v>
      </c>
      <c r="J220" s="10" t="s">
        <v>1104</v>
      </c>
      <c r="P220" s="10" t="s">
        <v>49</v>
      </c>
      <c r="Q220" s="10" t="n">
        <v>1819.6614</v>
      </c>
      <c r="R220" s="10" t="n">
        <v>1819.6614</v>
      </c>
      <c r="T220" s="10" t="n">
        <v>0.09</v>
      </c>
      <c r="U220" s="10" t="n">
        <v>0.2</v>
      </c>
      <c r="V220" s="10" t="n">
        <v>0.108</v>
      </c>
      <c r="W220" s="10" t="n">
        <v>0.73</v>
      </c>
      <c r="X220" s="10" t="n">
        <v>0.12</v>
      </c>
      <c r="Y220" s="10" t="n">
        <v>0.8176</v>
      </c>
      <c r="Z220" s="10" t="n">
        <v>1684.27859184</v>
      </c>
    </row>
    <row r="221" customFormat="false" ht="13.5" hidden="false" customHeight="true" outlineLevel="0" collapsed="false">
      <c r="C221" s="10" t="s">
        <v>35</v>
      </c>
      <c r="D221" s="10" t="s">
        <v>254</v>
      </c>
      <c r="E221" s="10" t="s">
        <v>4</v>
      </c>
      <c r="F221" s="10" t="s">
        <v>1223</v>
      </c>
      <c r="G221" s="10" t="s">
        <v>68</v>
      </c>
      <c r="H221" s="10" t="s">
        <v>166</v>
      </c>
      <c r="I221" s="10" t="s">
        <v>111</v>
      </c>
      <c r="J221" s="10" t="s">
        <v>1105</v>
      </c>
      <c r="P221" s="10" t="s">
        <v>49</v>
      </c>
      <c r="Q221" s="10" t="n">
        <v>7527.2208</v>
      </c>
      <c r="R221" s="10" t="n">
        <v>7527.2208</v>
      </c>
      <c r="T221" s="10" t="n">
        <v>0.08</v>
      </c>
      <c r="U221" s="10" t="n">
        <v>0.2</v>
      </c>
      <c r="V221" s="10" t="n">
        <v>0.096</v>
      </c>
      <c r="W221" s="10" t="n">
        <v>0.72</v>
      </c>
      <c r="X221" s="10" t="n">
        <v>0.12</v>
      </c>
      <c r="Y221" s="10" t="n">
        <v>0.8064</v>
      </c>
      <c r="Z221" s="10" t="n">
        <v>6792.56404992</v>
      </c>
    </row>
    <row r="222" customFormat="false" ht="13.5" hidden="false" customHeight="true" outlineLevel="0" collapsed="false">
      <c r="C222" s="10" t="s">
        <v>35</v>
      </c>
      <c r="D222" s="10" t="s">
        <v>254</v>
      </c>
      <c r="E222" s="10" t="s">
        <v>4</v>
      </c>
      <c r="F222" s="10" t="s">
        <v>1223</v>
      </c>
      <c r="G222" s="10" t="s">
        <v>68</v>
      </c>
      <c r="H222" s="10" t="s">
        <v>166</v>
      </c>
      <c r="I222" s="10" t="s">
        <v>1211</v>
      </c>
      <c r="J222" s="10" t="s">
        <v>1123</v>
      </c>
      <c r="P222" s="10" t="s">
        <v>49</v>
      </c>
      <c r="Q222" s="10" t="n">
        <v>620.0733864</v>
      </c>
      <c r="R222" s="10" t="n">
        <v>620.0733864</v>
      </c>
      <c r="T222" s="10" t="n">
        <v>0.05</v>
      </c>
      <c r="U222" s="10" t="n">
        <v>0.2</v>
      </c>
      <c r="V222" s="10" t="n">
        <v>0.06</v>
      </c>
      <c r="W222" s="10" t="n">
        <v>1.2</v>
      </c>
      <c r="X222" s="10" t="n">
        <v>0.12</v>
      </c>
      <c r="Y222" s="10" t="n">
        <v>1.344</v>
      </c>
      <c r="Z222" s="10" t="n">
        <v>870.5830345056</v>
      </c>
    </row>
    <row r="223" customFormat="false" ht="13.5" hidden="false" customHeight="true" outlineLevel="0" collapsed="false">
      <c r="C223" s="10" t="s">
        <v>35</v>
      </c>
      <c r="D223" s="10" t="s">
        <v>254</v>
      </c>
      <c r="E223" s="10" t="s">
        <v>4</v>
      </c>
      <c r="F223" s="10" t="s">
        <v>1223</v>
      </c>
      <c r="G223" s="10" t="s">
        <v>68</v>
      </c>
      <c r="H223" s="10" t="s">
        <v>170</v>
      </c>
      <c r="I223" s="10" t="s">
        <v>110</v>
      </c>
      <c r="J223" s="10" t="s">
        <v>1109</v>
      </c>
      <c r="P223" s="10" t="s">
        <v>47</v>
      </c>
      <c r="Q223" s="10" t="n">
        <v>87.15</v>
      </c>
      <c r="R223" s="10" t="n">
        <v>87.15</v>
      </c>
      <c r="T223" s="10" t="n">
        <v>10</v>
      </c>
      <c r="U223" s="10" t="n">
        <v>0.2</v>
      </c>
      <c r="V223" s="10" t="n">
        <v>12</v>
      </c>
      <c r="W223" s="10" t="n">
        <v>98</v>
      </c>
      <c r="X223" s="10" t="n">
        <v>0.12</v>
      </c>
      <c r="Y223" s="10" t="n">
        <v>109.76</v>
      </c>
      <c r="Z223" s="10" t="n">
        <v>10611.384</v>
      </c>
    </row>
    <row r="224" customFormat="false" ht="13.5" hidden="false" customHeight="true" outlineLevel="0" collapsed="false">
      <c r="C224" s="10" t="s">
        <v>35</v>
      </c>
      <c r="D224" s="10" t="s">
        <v>254</v>
      </c>
      <c r="E224" s="10" t="s">
        <v>4</v>
      </c>
      <c r="F224" s="10" t="s">
        <v>1223</v>
      </c>
      <c r="G224" s="10" t="s">
        <v>68</v>
      </c>
      <c r="H224" s="10" t="s">
        <v>170</v>
      </c>
      <c r="I224" s="10" t="s">
        <v>153</v>
      </c>
      <c r="J224" s="10" t="s">
        <v>153</v>
      </c>
      <c r="P224" s="10" t="s">
        <v>45</v>
      </c>
      <c r="Q224" s="10" t="n">
        <v>581</v>
      </c>
      <c r="R224" s="10" t="n">
        <v>581</v>
      </c>
      <c r="T224" s="10" t="n">
        <v>6</v>
      </c>
      <c r="U224" s="10" t="n">
        <v>0.2</v>
      </c>
      <c r="V224" s="10" t="n">
        <v>7.2</v>
      </c>
      <c r="W224" s="10" t="n">
        <v>5</v>
      </c>
      <c r="X224" s="10" t="n">
        <v>0.12</v>
      </c>
      <c r="Y224" s="10" t="n">
        <v>5.6</v>
      </c>
      <c r="Z224" s="10" t="n">
        <v>7436.8</v>
      </c>
    </row>
    <row r="225" customFormat="false" ht="13.5" hidden="false" customHeight="true" outlineLevel="0" collapsed="false">
      <c r="C225" s="10" t="s">
        <v>35</v>
      </c>
      <c r="D225" s="10" t="s">
        <v>254</v>
      </c>
      <c r="E225" s="10" t="s">
        <v>4</v>
      </c>
      <c r="F225" s="10" t="s">
        <v>1223</v>
      </c>
      <c r="G225" s="10" t="s">
        <v>68</v>
      </c>
      <c r="H225" s="10" t="s">
        <v>170</v>
      </c>
      <c r="I225" s="10" t="s">
        <v>111</v>
      </c>
      <c r="J225" s="10" t="s">
        <v>1100</v>
      </c>
      <c r="P225" s="10" t="s">
        <v>49</v>
      </c>
      <c r="Q225" s="10" t="n">
        <v>11514.5</v>
      </c>
      <c r="R225" s="10" t="n">
        <v>11514.5</v>
      </c>
      <c r="T225" s="10" t="n">
        <v>0.12</v>
      </c>
      <c r="U225" s="10" t="n">
        <v>0.2</v>
      </c>
      <c r="V225" s="10" t="n">
        <v>0.144</v>
      </c>
      <c r="W225" s="10" t="n">
        <v>0.78</v>
      </c>
      <c r="X225" s="10" t="n">
        <v>0.12</v>
      </c>
      <c r="Y225" s="10" t="n">
        <v>0.8736</v>
      </c>
      <c r="Z225" s="10" t="n">
        <v>11717.1552</v>
      </c>
    </row>
    <row r="226" customFormat="false" ht="13.5" hidden="false" customHeight="true" outlineLevel="0" collapsed="false">
      <c r="C226" s="10" t="s">
        <v>35</v>
      </c>
      <c r="D226" s="10" t="s">
        <v>254</v>
      </c>
      <c r="E226" s="10" t="s">
        <v>4</v>
      </c>
      <c r="F226" s="10" t="s">
        <v>1223</v>
      </c>
      <c r="G226" s="10" t="s">
        <v>68</v>
      </c>
      <c r="H226" s="10" t="s">
        <v>170</v>
      </c>
      <c r="I226" s="10" t="s">
        <v>111</v>
      </c>
      <c r="J226" s="10" t="s">
        <v>1101</v>
      </c>
      <c r="P226" s="10" t="s">
        <v>49</v>
      </c>
      <c r="Q226" s="10" t="n">
        <v>166.5</v>
      </c>
      <c r="R226" s="10" t="n">
        <v>166.5</v>
      </c>
      <c r="T226" s="10" t="n">
        <v>0.11</v>
      </c>
      <c r="U226" s="10" t="n">
        <v>0.2</v>
      </c>
      <c r="V226" s="10" t="n">
        <v>0.132</v>
      </c>
      <c r="W226" s="10" t="n">
        <v>0.76</v>
      </c>
      <c r="X226" s="10" t="n">
        <v>0.12</v>
      </c>
      <c r="Y226" s="10" t="n">
        <v>0.8512</v>
      </c>
      <c r="Z226" s="10" t="n">
        <v>163.7028</v>
      </c>
    </row>
    <row r="227" customFormat="false" ht="13.5" hidden="false" customHeight="true" outlineLevel="0" collapsed="false">
      <c r="C227" s="10" t="s">
        <v>35</v>
      </c>
      <c r="D227" s="10" t="s">
        <v>254</v>
      </c>
      <c r="E227" s="10" t="s">
        <v>4</v>
      </c>
      <c r="F227" s="10" t="s">
        <v>1223</v>
      </c>
      <c r="G227" s="10" t="s">
        <v>68</v>
      </c>
      <c r="H227" s="10" t="s">
        <v>170</v>
      </c>
      <c r="I227" s="10" t="s">
        <v>1211</v>
      </c>
      <c r="J227" s="10" t="s">
        <v>1123</v>
      </c>
      <c r="P227" s="10" t="s">
        <v>49</v>
      </c>
      <c r="Q227" s="10" t="n">
        <v>467.24</v>
      </c>
      <c r="R227" s="10" t="n">
        <v>467.24</v>
      </c>
      <c r="T227" s="10" t="n">
        <v>0.05</v>
      </c>
      <c r="U227" s="10" t="n">
        <v>0.2</v>
      </c>
      <c r="V227" s="10" t="n">
        <v>0.06</v>
      </c>
      <c r="W227" s="10" t="n">
        <v>1.2</v>
      </c>
      <c r="X227" s="10" t="n">
        <v>0.12</v>
      </c>
      <c r="Y227" s="10" t="n">
        <v>1.344</v>
      </c>
      <c r="Z227" s="10" t="n">
        <v>656.00496</v>
      </c>
    </row>
    <row r="228" customFormat="false" ht="13.5" hidden="false" customHeight="true" outlineLevel="0" collapsed="false">
      <c r="C228" s="10" t="s">
        <v>35</v>
      </c>
      <c r="D228" s="10" t="s">
        <v>254</v>
      </c>
      <c r="E228" s="10" t="s">
        <v>4</v>
      </c>
      <c r="F228" s="10" t="s">
        <v>1223</v>
      </c>
      <c r="G228" s="10" t="s">
        <v>68</v>
      </c>
      <c r="H228" s="10" t="s">
        <v>1218</v>
      </c>
      <c r="I228" s="10" t="s">
        <v>110</v>
      </c>
      <c r="J228" s="10" t="s">
        <v>1109</v>
      </c>
      <c r="P228" s="10" t="s">
        <v>47</v>
      </c>
      <c r="Q228" s="10" t="n">
        <v>23.43</v>
      </c>
      <c r="R228" s="10" t="n">
        <v>23.43</v>
      </c>
      <c r="T228" s="10" t="n">
        <v>10</v>
      </c>
      <c r="U228" s="10" t="n">
        <v>0.2</v>
      </c>
      <c r="V228" s="10" t="n">
        <v>12</v>
      </c>
      <c r="W228" s="10" t="n">
        <v>98</v>
      </c>
      <c r="X228" s="10" t="n">
        <v>0.12</v>
      </c>
      <c r="Y228" s="10" t="n">
        <v>109.76</v>
      </c>
      <c r="Z228" s="10" t="n">
        <v>2852.8368</v>
      </c>
    </row>
    <row r="229" customFormat="false" ht="13.5" hidden="false" customHeight="true" outlineLevel="0" collapsed="false">
      <c r="C229" s="10" t="s">
        <v>35</v>
      </c>
      <c r="D229" s="10" t="s">
        <v>254</v>
      </c>
      <c r="E229" s="10" t="s">
        <v>4</v>
      </c>
      <c r="F229" s="10" t="s">
        <v>1223</v>
      </c>
      <c r="G229" s="10" t="s">
        <v>68</v>
      </c>
      <c r="H229" s="10" t="s">
        <v>1218</v>
      </c>
      <c r="I229" s="10" t="s">
        <v>153</v>
      </c>
      <c r="J229" s="10" t="s">
        <v>153</v>
      </c>
      <c r="P229" s="10" t="s">
        <v>45</v>
      </c>
      <c r="Q229" s="10" t="n">
        <v>139.7</v>
      </c>
      <c r="R229" s="10" t="n">
        <v>139.7</v>
      </c>
      <c r="T229" s="10" t="n">
        <v>6</v>
      </c>
      <c r="U229" s="10" t="n">
        <v>0.2</v>
      </c>
      <c r="V229" s="10" t="n">
        <v>7.2</v>
      </c>
      <c r="W229" s="10" t="n">
        <v>5</v>
      </c>
      <c r="X229" s="10" t="n">
        <v>0.12</v>
      </c>
      <c r="Y229" s="10" t="n">
        <v>5.6</v>
      </c>
      <c r="Z229" s="10" t="n">
        <v>1788.16</v>
      </c>
    </row>
    <row r="230" customFormat="false" ht="13.5" hidden="false" customHeight="true" outlineLevel="0" collapsed="false">
      <c r="C230" s="10" t="s">
        <v>35</v>
      </c>
      <c r="D230" s="10" t="s">
        <v>254</v>
      </c>
      <c r="E230" s="10" t="s">
        <v>4</v>
      </c>
      <c r="F230" s="10" t="s">
        <v>1223</v>
      </c>
      <c r="G230" s="10" t="s">
        <v>68</v>
      </c>
      <c r="H230" s="10" t="s">
        <v>1218</v>
      </c>
      <c r="I230" s="10" t="s">
        <v>111</v>
      </c>
      <c r="J230" s="10" t="s">
        <v>1100</v>
      </c>
      <c r="P230" s="10" t="s">
        <v>49</v>
      </c>
      <c r="Q230" s="10" t="n">
        <v>241.864</v>
      </c>
      <c r="R230" s="10" t="n">
        <v>241.864</v>
      </c>
      <c r="T230" s="10" t="n">
        <v>0.12</v>
      </c>
      <c r="U230" s="10" t="n">
        <v>0.2</v>
      </c>
      <c r="V230" s="10" t="n">
        <v>0.144</v>
      </c>
      <c r="W230" s="10" t="n">
        <v>0.78</v>
      </c>
      <c r="X230" s="10" t="n">
        <v>0.12</v>
      </c>
      <c r="Y230" s="10" t="n">
        <v>0.8736</v>
      </c>
      <c r="Z230" s="10" t="n">
        <v>246.1208064</v>
      </c>
    </row>
    <row r="231" customFormat="false" ht="13.5" hidden="false" customHeight="true" outlineLevel="0" collapsed="false">
      <c r="C231" s="10" t="s">
        <v>35</v>
      </c>
      <c r="D231" s="10" t="s">
        <v>254</v>
      </c>
      <c r="E231" s="10" t="s">
        <v>4</v>
      </c>
      <c r="F231" s="10" t="s">
        <v>1223</v>
      </c>
      <c r="G231" s="10" t="s">
        <v>68</v>
      </c>
      <c r="H231" s="10" t="s">
        <v>1218</v>
      </c>
      <c r="I231" s="10" t="s">
        <v>111</v>
      </c>
      <c r="J231" s="10" t="s">
        <v>1101</v>
      </c>
      <c r="P231" s="10" t="s">
        <v>49</v>
      </c>
      <c r="Q231" s="10" t="n">
        <v>1071.6384</v>
      </c>
      <c r="R231" s="10" t="n">
        <v>1071.6384</v>
      </c>
      <c r="T231" s="10" t="n">
        <v>0.11</v>
      </c>
      <c r="U231" s="10" t="n">
        <v>0.2</v>
      </c>
      <c r="V231" s="10" t="n">
        <v>0.132</v>
      </c>
      <c r="W231" s="10" t="n">
        <v>0.76</v>
      </c>
      <c r="X231" s="10" t="n">
        <v>0.12</v>
      </c>
      <c r="Y231" s="10" t="n">
        <v>0.8512</v>
      </c>
      <c r="Z231" s="10" t="n">
        <v>1053.63487488</v>
      </c>
    </row>
    <row r="232" customFormat="false" ht="13.5" hidden="false" customHeight="true" outlineLevel="0" collapsed="false">
      <c r="C232" s="10" t="s">
        <v>35</v>
      </c>
      <c r="D232" s="10" t="s">
        <v>254</v>
      </c>
      <c r="E232" s="10" t="s">
        <v>4</v>
      </c>
      <c r="F232" s="10" t="s">
        <v>1223</v>
      </c>
      <c r="G232" s="10" t="s">
        <v>68</v>
      </c>
      <c r="H232" s="10" t="s">
        <v>1218</v>
      </c>
      <c r="I232" s="10" t="s">
        <v>111</v>
      </c>
      <c r="J232" s="10" t="s">
        <v>1102</v>
      </c>
      <c r="P232" s="10" t="s">
        <v>49</v>
      </c>
      <c r="Q232" s="10" t="n">
        <v>1122.4736</v>
      </c>
      <c r="R232" s="10" t="n">
        <v>1122.4736</v>
      </c>
      <c r="T232" s="10" t="n">
        <v>0.1</v>
      </c>
      <c r="U232" s="10" t="n">
        <v>0.2</v>
      </c>
      <c r="V232" s="10" t="n">
        <v>0.12</v>
      </c>
      <c r="W232" s="10" t="n">
        <v>0.75</v>
      </c>
      <c r="X232" s="10" t="n">
        <v>0.12</v>
      </c>
      <c r="Y232" s="10" t="n">
        <v>0.84</v>
      </c>
      <c r="Z232" s="10" t="n">
        <v>1077.574656</v>
      </c>
    </row>
    <row r="233" customFormat="false" ht="13.5" hidden="false" customHeight="true" outlineLevel="0" collapsed="false">
      <c r="C233" s="10" t="s">
        <v>35</v>
      </c>
      <c r="D233" s="10" t="s">
        <v>254</v>
      </c>
      <c r="E233" s="10" t="s">
        <v>4</v>
      </c>
      <c r="F233" s="10" t="s">
        <v>1223</v>
      </c>
      <c r="G233" s="10" t="s">
        <v>68</v>
      </c>
      <c r="H233" s="10" t="s">
        <v>1218</v>
      </c>
      <c r="I233" s="10" t="s">
        <v>111</v>
      </c>
      <c r="J233" s="10" t="s">
        <v>1104</v>
      </c>
      <c r="P233" s="10" t="s">
        <v>49</v>
      </c>
      <c r="Q233" s="10" t="n">
        <v>822.016</v>
      </c>
      <c r="R233" s="10" t="n">
        <v>822.016</v>
      </c>
      <c r="T233" s="10" t="n">
        <v>0.09</v>
      </c>
      <c r="U233" s="10" t="n">
        <v>0.2</v>
      </c>
      <c r="V233" s="10" t="n">
        <v>0.108</v>
      </c>
      <c r="W233" s="10" t="n">
        <v>0.73</v>
      </c>
      <c r="X233" s="10" t="n">
        <v>0.12</v>
      </c>
      <c r="Y233" s="10" t="n">
        <v>0.8176</v>
      </c>
      <c r="Z233" s="10" t="n">
        <v>760.8580096</v>
      </c>
    </row>
    <row r="234" customFormat="false" ht="13.5" hidden="false" customHeight="true" outlineLevel="0" collapsed="false">
      <c r="C234" s="10" t="s">
        <v>35</v>
      </c>
      <c r="D234" s="10" t="s">
        <v>254</v>
      </c>
      <c r="E234" s="10" t="s">
        <v>4</v>
      </c>
      <c r="F234" s="10" t="s">
        <v>1223</v>
      </c>
      <c r="G234" s="10" t="s">
        <v>68</v>
      </c>
      <c r="H234" s="10" t="s">
        <v>1218</v>
      </c>
      <c r="I234" s="10" t="s">
        <v>1211</v>
      </c>
      <c r="J234" s="10" t="s">
        <v>1123</v>
      </c>
      <c r="P234" s="10" t="s">
        <v>49</v>
      </c>
      <c r="Q234" s="10" t="n">
        <v>130.31968</v>
      </c>
      <c r="R234" s="10" t="n">
        <v>130.31968</v>
      </c>
      <c r="T234" s="10" t="n">
        <v>0.05</v>
      </c>
      <c r="U234" s="10" t="n">
        <v>0.2</v>
      </c>
      <c r="V234" s="10" t="n">
        <v>0.06</v>
      </c>
      <c r="W234" s="10" t="n">
        <v>1.2</v>
      </c>
      <c r="X234" s="10" t="n">
        <v>0.12</v>
      </c>
      <c r="Y234" s="10" t="n">
        <v>1.344</v>
      </c>
      <c r="Z234" s="10" t="n">
        <v>182.96883072</v>
      </c>
    </row>
    <row r="235" customFormat="false" ht="13.5" hidden="false" customHeight="true" outlineLevel="0" collapsed="false">
      <c r="C235" s="10" t="s">
        <v>35</v>
      </c>
      <c r="D235" s="10" t="s">
        <v>254</v>
      </c>
      <c r="E235" s="10" t="s">
        <v>4</v>
      </c>
      <c r="F235" s="10" t="s">
        <v>1223</v>
      </c>
      <c r="G235" s="10" t="s">
        <v>68</v>
      </c>
      <c r="H235" s="10" t="s">
        <v>180</v>
      </c>
      <c r="I235" s="10" t="s">
        <v>110</v>
      </c>
      <c r="J235" s="10" t="s">
        <v>1109</v>
      </c>
      <c r="P235" s="10" t="s">
        <v>47</v>
      </c>
      <c r="Q235" s="10" t="n">
        <v>5.016</v>
      </c>
      <c r="R235" s="10" t="n">
        <v>5.016</v>
      </c>
      <c r="T235" s="10" t="n">
        <v>10</v>
      </c>
      <c r="U235" s="10" t="n">
        <v>0.2</v>
      </c>
      <c r="V235" s="10" t="n">
        <v>12</v>
      </c>
      <c r="W235" s="10" t="n">
        <v>98</v>
      </c>
      <c r="X235" s="10" t="n">
        <v>0.12</v>
      </c>
      <c r="Y235" s="10" t="n">
        <v>109.76</v>
      </c>
      <c r="Z235" s="10" t="n">
        <v>610.74816</v>
      </c>
    </row>
    <row r="236" customFormat="false" ht="13.5" hidden="false" customHeight="true" outlineLevel="0" collapsed="false">
      <c r="C236" s="10" t="s">
        <v>35</v>
      </c>
      <c r="D236" s="10" t="s">
        <v>254</v>
      </c>
      <c r="E236" s="10" t="s">
        <v>4</v>
      </c>
      <c r="F236" s="10" t="s">
        <v>1223</v>
      </c>
      <c r="G236" s="10" t="s">
        <v>68</v>
      </c>
      <c r="H236" s="10" t="s">
        <v>180</v>
      </c>
      <c r="I236" s="10" t="s">
        <v>153</v>
      </c>
      <c r="J236" s="10" t="s">
        <v>153</v>
      </c>
      <c r="P236" s="10" t="s">
        <v>45</v>
      </c>
      <c r="Q236" s="10" t="n">
        <v>75.24</v>
      </c>
      <c r="R236" s="10" t="n">
        <v>75.24</v>
      </c>
      <c r="T236" s="10" t="n">
        <v>6</v>
      </c>
      <c r="U236" s="10" t="n">
        <v>0.2</v>
      </c>
      <c r="V236" s="10" t="n">
        <v>7.2</v>
      </c>
      <c r="W236" s="10" t="n">
        <v>5</v>
      </c>
      <c r="X236" s="10" t="n">
        <v>0.12</v>
      </c>
      <c r="Y236" s="10" t="n">
        <v>5.6</v>
      </c>
      <c r="Z236" s="10" t="n">
        <v>963.072</v>
      </c>
    </row>
    <row r="237" customFormat="false" ht="13.5" hidden="false" customHeight="true" outlineLevel="0" collapsed="false">
      <c r="C237" s="10" t="s">
        <v>35</v>
      </c>
      <c r="D237" s="10" t="s">
        <v>254</v>
      </c>
      <c r="E237" s="10" t="s">
        <v>4</v>
      </c>
      <c r="F237" s="10" t="s">
        <v>1223</v>
      </c>
      <c r="G237" s="10" t="s">
        <v>68</v>
      </c>
      <c r="H237" s="10" t="s">
        <v>180</v>
      </c>
      <c r="I237" s="10" t="s">
        <v>111</v>
      </c>
      <c r="J237" s="10" t="s">
        <v>1117</v>
      </c>
      <c r="P237" s="10" t="s">
        <v>49</v>
      </c>
      <c r="Q237" s="10" t="n">
        <v>50.16</v>
      </c>
      <c r="R237" s="10" t="n">
        <v>50.16</v>
      </c>
      <c r="T237" s="10" t="n">
        <v>0.12</v>
      </c>
      <c r="U237" s="10" t="n">
        <v>0.2</v>
      </c>
      <c r="V237" s="10" t="n">
        <v>0.144</v>
      </c>
      <c r="W237" s="10" t="n">
        <v>0.77</v>
      </c>
      <c r="X237" s="10" t="n">
        <v>0.12</v>
      </c>
      <c r="Y237" s="10" t="n">
        <v>0.8624</v>
      </c>
      <c r="Z237" s="10" t="n">
        <v>50.481024</v>
      </c>
    </row>
    <row r="238" customFormat="false" ht="13.5" hidden="false" customHeight="true" outlineLevel="0" collapsed="false">
      <c r="C238" s="10" t="s">
        <v>35</v>
      </c>
      <c r="D238" s="10" t="s">
        <v>254</v>
      </c>
      <c r="E238" s="10" t="s">
        <v>4</v>
      </c>
      <c r="F238" s="10" t="s">
        <v>1223</v>
      </c>
      <c r="G238" s="10" t="s">
        <v>68</v>
      </c>
      <c r="H238" s="10" t="s">
        <v>180</v>
      </c>
      <c r="I238" s="10" t="s">
        <v>111</v>
      </c>
      <c r="J238" s="10" t="s">
        <v>1101</v>
      </c>
      <c r="P238" s="10" t="s">
        <v>49</v>
      </c>
      <c r="Q238" s="10" t="n">
        <v>601.92</v>
      </c>
      <c r="R238" s="10" t="n">
        <v>601.92</v>
      </c>
      <c r="T238" s="10" t="n">
        <v>0.11</v>
      </c>
      <c r="U238" s="10" t="n">
        <v>0.2</v>
      </c>
      <c r="V238" s="10" t="n">
        <v>0.132</v>
      </c>
      <c r="W238" s="10" t="n">
        <v>0.76</v>
      </c>
      <c r="X238" s="10" t="n">
        <v>0.12</v>
      </c>
      <c r="Y238" s="10" t="n">
        <v>0.8512</v>
      </c>
      <c r="Z238" s="10" t="n">
        <v>591.807744</v>
      </c>
    </row>
    <row r="239" customFormat="false" ht="13.5" hidden="false" customHeight="true" outlineLevel="0" collapsed="false">
      <c r="C239" s="10" t="s">
        <v>35</v>
      </c>
      <c r="D239" s="10" t="s">
        <v>254</v>
      </c>
      <c r="E239" s="10" t="s">
        <v>4</v>
      </c>
      <c r="F239" s="10" t="s">
        <v>1223</v>
      </c>
      <c r="G239" s="10" t="s">
        <v>68</v>
      </c>
      <c r="H239" s="10" t="s">
        <v>180</v>
      </c>
      <c r="I239" s="10" t="s">
        <v>111</v>
      </c>
      <c r="J239" s="10" t="s">
        <v>1103</v>
      </c>
      <c r="P239" s="10" t="s">
        <v>49</v>
      </c>
      <c r="Q239" s="10" t="n">
        <v>125.4</v>
      </c>
      <c r="R239" s="10" t="n">
        <v>125.4</v>
      </c>
      <c r="T239" s="10" t="n">
        <v>0.1</v>
      </c>
      <c r="U239" s="10" t="n">
        <v>0.2</v>
      </c>
      <c r="V239" s="10" t="n">
        <v>0.12</v>
      </c>
      <c r="W239" s="10" t="n">
        <v>0.74</v>
      </c>
      <c r="X239" s="10" t="n">
        <v>0.12</v>
      </c>
      <c r="Y239" s="10" t="n">
        <v>0.8288</v>
      </c>
      <c r="Z239" s="10" t="n">
        <v>118.97952</v>
      </c>
    </row>
    <row r="240" customFormat="false" ht="13.5" hidden="false" customHeight="true" outlineLevel="0" collapsed="false">
      <c r="C240" s="10" t="s">
        <v>35</v>
      </c>
      <c r="D240" s="10" t="s">
        <v>254</v>
      </c>
      <c r="E240" s="10" t="s">
        <v>4</v>
      </c>
      <c r="F240" s="10" t="s">
        <v>1223</v>
      </c>
      <c r="G240" s="10" t="s">
        <v>68</v>
      </c>
      <c r="H240" s="10" t="s">
        <v>180</v>
      </c>
      <c r="I240" s="10" t="s">
        <v>1211</v>
      </c>
      <c r="J240" s="10" t="s">
        <v>1123</v>
      </c>
      <c r="P240" s="10" t="s">
        <v>49</v>
      </c>
      <c r="Q240" s="10" t="n">
        <v>31.0992</v>
      </c>
      <c r="R240" s="10" t="n">
        <v>31.0992</v>
      </c>
      <c r="T240" s="10" t="n">
        <v>0.05</v>
      </c>
      <c r="U240" s="10" t="n">
        <v>0.2</v>
      </c>
      <c r="V240" s="10" t="n">
        <v>0.06</v>
      </c>
      <c r="W240" s="10" t="n">
        <v>1.2</v>
      </c>
      <c r="X240" s="10" t="n">
        <v>0.12</v>
      </c>
      <c r="Y240" s="10" t="n">
        <v>1.344</v>
      </c>
      <c r="Z240" s="10" t="n">
        <v>43.6632768</v>
      </c>
    </row>
    <row r="241" customFormat="false" ht="13.5" hidden="false" customHeight="true" outlineLevel="0" collapsed="false">
      <c r="C241" s="10" t="s">
        <v>35</v>
      </c>
      <c r="D241" s="10" t="s">
        <v>254</v>
      </c>
      <c r="E241" s="10" t="s">
        <v>4</v>
      </c>
      <c r="F241" s="10" t="s">
        <v>1223</v>
      </c>
      <c r="G241" s="10" t="s">
        <v>68</v>
      </c>
      <c r="H241" s="10" t="s">
        <v>175</v>
      </c>
      <c r="I241" s="10" t="s">
        <v>110</v>
      </c>
      <c r="J241" s="10" t="s">
        <v>1109</v>
      </c>
      <c r="P241" s="10" t="s">
        <v>47</v>
      </c>
      <c r="Q241" s="10" t="n">
        <v>38.976</v>
      </c>
      <c r="R241" s="10" t="n">
        <v>38.976</v>
      </c>
      <c r="T241" s="10" t="n">
        <v>10</v>
      </c>
      <c r="U241" s="10" t="n">
        <v>0.2</v>
      </c>
      <c r="V241" s="10" t="n">
        <v>12</v>
      </c>
      <c r="W241" s="10" t="n">
        <v>98</v>
      </c>
      <c r="X241" s="10" t="n">
        <v>0.12</v>
      </c>
      <c r="Y241" s="10" t="n">
        <v>109.76</v>
      </c>
      <c r="Z241" s="10" t="n">
        <v>4745.71776</v>
      </c>
    </row>
    <row r="242" customFormat="false" ht="13.5" hidden="false" customHeight="true" outlineLevel="0" collapsed="false">
      <c r="C242" s="10" t="s">
        <v>35</v>
      </c>
      <c r="D242" s="10" t="s">
        <v>254</v>
      </c>
      <c r="E242" s="10" t="s">
        <v>4</v>
      </c>
      <c r="F242" s="10" t="s">
        <v>1223</v>
      </c>
      <c r="G242" s="10" t="s">
        <v>68</v>
      </c>
      <c r="H242" s="10" t="s">
        <v>175</v>
      </c>
      <c r="I242" s="10" t="s">
        <v>153</v>
      </c>
      <c r="J242" s="10" t="s">
        <v>153</v>
      </c>
      <c r="P242" s="10" t="s">
        <v>45</v>
      </c>
      <c r="Q242" s="10" t="n">
        <v>204.96</v>
      </c>
      <c r="R242" s="10" t="n">
        <v>204.96</v>
      </c>
      <c r="T242" s="10" t="n">
        <v>6</v>
      </c>
      <c r="U242" s="10" t="n">
        <v>0.2</v>
      </c>
      <c r="V242" s="10" t="n">
        <v>7.2</v>
      </c>
      <c r="W242" s="10" t="n">
        <v>5</v>
      </c>
      <c r="X242" s="10" t="n">
        <v>0.12</v>
      </c>
      <c r="Y242" s="10" t="n">
        <v>5.6</v>
      </c>
      <c r="Z242" s="10" t="n">
        <v>2623.488</v>
      </c>
    </row>
    <row r="243" customFormat="false" ht="13.5" hidden="false" customHeight="true" outlineLevel="0" collapsed="false">
      <c r="C243" s="10" t="s">
        <v>35</v>
      </c>
      <c r="D243" s="10" t="s">
        <v>254</v>
      </c>
      <c r="E243" s="10" t="s">
        <v>4</v>
      </c>
      <c r="F243" s="10" t="s">
        <v>1223</v>
      </c>
      <c r="G243" s="10" t="s">
        <v>68</v>
      </c>
      <c r="H243" s="10" t="s">
        <v>175</v>
      </c>
      <c r="I243" s="10" t="s">
        <v>111</v>
      </c>
      <c r="J243" s="10" t="s">
        <v>1100</v>
      </c>
      <c r="P243" s="10" t="s">
        <v>49</v>
      </c>
      <c r="Q243" s="10" t="n">
        <v>418.0792</v>
      </c>
      <c r="R243" s="10" t="n">
        <v>418.0792</v>
      </c>
      <c r="T243" s="10" t="n">
        <v>0.12</v>
      </c>
      <c r="U243" s="10" t="n">
        <v>0.2</v>
      </c>
      <c r="V243" s="10" t="n">
        <v>0.144</v>
      </c>
      <c r="W243" s="10" t="n">
        <v>0.78</v>
      </c>
      <c r="X243" s="10" t="n">
        <v>0.12</v>
      </c>
      <c r="Y243" s="10" t="n">
        <v>0.8736</v>
      </c>
      <c r="Z243" s="10" t="n">
        <v>425.43739392</v>
      </c>
    </row>
    <row r="244" customFormat="false" ht="13.5" hidden="false" customHeight="true" outlineLevel="0" collapsed="false">
      <c r="C244" s="10" t="s">
        <v>35</v>
      </c>
      <c r="D244" s="10" t="s">
        <v>254</v>
      </c>
      <c r="E244" s="10" t="s">
        <v>4</v>
      </c>
      <c r="F244" s="10" t="s">
        <v>1223</v>
      </c>
      <c r="G244" s="10" t="s">
        <v>68</v>
      </c>
      <c r="H244" s="10" t="s">
        <v>175</v>
      </c>
      <c r="I244" s="10" t="s">
        <v>111</v>
      </c>
      <c r="J244" s="10" t="s">
        <v>1101</v>
      </c>
      <c r="P244" s="10" t="s">
        <v>49</v>
      </c>
      <c r="Q244" s="10" t="n">
        <v>2118.4128</v>
      </c>
      <c r="R244" s="10" t="n">
        <v>2118.4128</v>
      </c>
      <c r="T244" s="10" t="n">
        <v>0.11</v>
      </c>
      <c r="U244" s="10" t="n">
        <v>0.2</v>
      </c>
      <c r="V244" s="10" t="n">
        <v>0.132</v>
      </c>
      <c r="W244" s="10" t="n">
        <v>0.76</v>
      </c>
      <c r="X244" s="10" t="n">
        <v>0.12</v>
      </c>
      <c r="Y244" s="10" t="n">
        <v>0.8512</v>
      </c>
      <c r="Z244" s="10" t="n">
        <v>2082.82346496</v>
      </c>
    </row>
    <row r="245" customFormat="false" ht="13.5" hidden="false" customHeight="true" outlineLevel="0" collapsed="false">
      <c r="C245" s="10" t="s">
        <v>35</v>
      </c>
      <c r="D245" s="10" t="s">
        <v>254</v>
      </c>
      <c r="E245" s="10" t="s">
        <v>4</v>
      </c>
      <c r="F245" s="10" t="s">
        <v>1223</v>
      </c>
      <c r="G245" s="10" t="s">
        <v>68</v>
      </c>
      <c r="H245" s="10" t="s">
        <v>175</v>
      </c>
      <c r="I245" s="10" t="s">
        <v>111</v>
      </c>
      <c r="J245" s="10" t="s">
        <v>1104</v>
      </c>
      <c r="P245" s="10" t="s">
        <v>49</v>
      </c>
      <c r="Q245" s="10" t="n">
        <v>1231.0272</v>
      </c>
      <c r="R245" s="10" t="n">
        <v>1231.0272</v>
      </c>
      <c r="T245" s="10" t="n">
        <v>0.09</v>
      </c>
      <c r="U245" s="10" t="n">
        <v>0.2</v>
      </c>
      <c r="V245" s="10" t="n">
        <v>0.108</v>
      </c>
      <c r="W245" s="10" t="n">
        <v>0.73</v>
      </c>
      <c r="X245" s="10" t="n">
        <v>0.12</v>
      </c>
      <c r="Y245" s="10" t="n">
        <v>0.8176</v>
      </c>
      <c r="Z245" s="10" t="n">
        <v>1139.43877632</v>
      </c>
    </row>
    <row r="246" customFormat="false" ht="13.5" hidden="false" customHeight="true" outlineLevel="0" collapsed="false">
      <c r="C246" s="10" t="s">
        <v>35</v>
      </c>
      <c r="D246" s="10" t="s">
        <v>254</v>
      </c>
      <c r="E246" s="10" t="s">
        <v>4</v>
      </c>
      <c r="F246" s="10" t="s">
        <v>1223</v>
      </c>
      <c r="G246" s="10" t="s">
        <v>68</v>
      </c>
      <c r="H246" s="10" t="s">
        <v>175</v>
      </c>
      <c r="I246" s="10" t="s">
        <v>111</v>
      </c>
      <c r="J246" s="10" t="s">
        <v>1105</v>
      </c>
      <c r="P246" s="10" t="s">
        <v>49</v>
      </c>
      <c r="Q246" s="10" t="n">
        <v>5365.9008</v>
      </c>
      <c r="R246" s="10" t="n">
        <v>5365.9008</v>
      </c>
      <c r="T246" s="10" t="n">
        <v>0.08</v>
      </c>
      <c r="U246" s="10" t="n">
        <v>0.2</v>
      </c>
      <c r="V246" s="10" t="n">
        <v>0.096</v>
      </c>
      <c r="W246" s="10" t="n">
        <v>0.72</v>
      </c>
      <c r="X246" s="10" t="n">
        <v>0.12</v>
      </c>
      <c r="Y246" s="10" t="n">
        <v>0.8064</v>
      </c>
      <c r="Z246" s="10" t="n">
        <v>4842.18888192</v>
      </c>
    </row>
    <row r="247" customFormat="false" ht="13.5" hidden="false" customHeight="true" outlineLevel="0" collapsed="false">
      <c r="C247" s="10" t="s">
        <v>35</v>
      </c>
      <c r="D247" s="10" t="s">
        <v>254</v>
      </c>
      <c r="E247" s="10" t="s">
        <v>4</v>
      </c>
      <c r="F247" s="10" t="s">
        <v>1223</v>
      </c>
      <c r="G247" s="10" t="s">
        <v>68</v>
      </c>
      <c r="H247" s="10" t="s">
        <v>175</v>
      </c>
      <c r="I247" s="10" t="s">
        <v>1211</v>
      </c>
      <c r="J247" s="10" t="s">
        <v>1123</v>
      </c>
      <c r="P247" s="10" t="s">
        <v>49</v>
      </c>
      <c r="Q247" s="10" t="n">
        <v>365.3368</v>
      </c>
      <c r="R247" s="10" t="n">
        <v>365.3368</v>
      </c>
      <c r="T247" s="10" t="n">
        <v>0.05</v>
      </c>
      <c r="U247" s="10" t="n">
        <v>0.2</v>
      </c>
      <c r="V247" s="10" t="n">
        <v>0.06</v>
      </c>
      <c r="W247" s="10" t="n">
        <v>1.2</v>
      </c>
      <c r="X247" s="10" t="n">
        <v>0.12</v>
      </c>
      <c r="Y247" s="10" t="n">
        <v>1.344</v>
      </c>
      <c r="Z247" s="10" t="n">
        <v>512.9328672</v>
      </c>
    </row>
    <row r="248" customFormat="false" ht="13.5" hidden="false" customHeight="true" outlineLevel="0" collapsed="false">
      <c r="C248" s="10" t="s">
        <v>35</v>
      </c>
      <c r="D248" s="10" t="s">
        <v>254</v>
      </c>
      <c r="E248" s="10" t="s">
        <v>4</v>
      </c>
      <c r="F248" s="10" t="s">
        <v>1224</v>
      </c>
      <c r="G248" s="10" t="s">
        <v>68</v>
      </c>
      <c r="H248" s="10" t="s">
        <v>166</v>
      </c>
      <c r="I248" s="10" t="s">
        <v>110</v>
      </c>
      <c r="J248" s="10" t="s">
        <v>1109</v>
      </c>
      <c r="P248" s="10" t="s">
        <v>47</v>
      </c>
      <c r="Q248" s="10" t="n">
        <v>46.74115</v>
      </c>
      <c r="R248" s="10" t="n">
        <v>46.74115</v>
      </c>
      <c r="T248" s="10" t="n">
        <v>10</v>
      </c>
      <c r="U248" s="10" t="n">
        <v>0.2</v>
      </c>
      <c r="V248" s="10" t="n">
        <v>12</v>
      </c>
      <c r="W248" s="10" t="n">
        <v>98</v>
      </c>
      <c r="X248" s="10" t="n">
        <v>0.12</v>
      </c>
      <c r="Y248" s="10" t="n">
        <v>109.76</v>
      </c>
      <c r="Z248" s="10" t="n">
        <v>5691.202424</v>
      </c>
    </row>
    <row r="249" customFormat="false" ht="13.5" hidden="false" customHeight="true" outlineLevel="0" collapsed="false">
      <c r="C249" s="10" t="s">
        <v>35</v>
      </c>
      <c r="D249" s="10" t="s">
        <v>254</v>
      </c>
      <c r="E249" s="10" t="s">
        <v>4</v>
      </c>
      <c r="F249" s="10" t="s">
        <v>1224</v>
      </c>
      <c r="G249" s="10" t="s">
        <v>68</v>
      </c>
      <c r="H249" s="10" t="s">
        <v>166</v>
      </c>
      <c r="I249" s="10" t="s">
        <v>153</v>
      </c>
      <c r="J249" s="10" t="s">
        <v>153</v>
      </c>
      <c r="P249" s="10" t="s">
        <v>45</v>
      </c>
      <c r="Q249" s="10" t="n">
        <v>446.526</v>
      </c>
      <c r="R249" s="10" t="n">
        <v>446.526</v>
      </c>
      <c r="T249" s="10" t="n">
        <v>6</v>
      </c>
      <c r="U249" s="10" t="n">
        <v>0.2</v>
      </c>
      <c r="V249" s="10" t="n">
        <v>7.2</v>
      </c>
      <c r="W249" s="10" t="n">
        <v>5</v>
      </c>
      <c r="X249" s="10" t="n">
        <v>0.12</v>
      </c>
      <c r="Y249" s="10" t="n">
        <v>5.6</v>
      </c>
      <c r="Z249" s="10" t="n">
        <v>5715.5328</v>
      </c>
    </row>
    <row r="250" customFormat="false" ht="13.5" hidden="false" customHeight="true" outlineLevel="0" collapsed="false">
      <c r="C250" s="10" t="s">
        <v>35</v>
      </c>
      <c r="D250" s="10" t="s">
        <v>254</v>
      </c>
      <c r="E250" s="10" t="s">
        <v>4</v>
      </c>
      <c r="F250" s="10" t="s">
        <v>1224</v>
      </c>
      <c r="G250" s="10" t="s">
        <v>68</v>
      </c>
      <c r="H250" s="10" t="s">
        <v>166</v>
      </c>
      <c r="I250" s="10" t="s">
        <v>111</v>
      </c>
      <c r="J250" s="10" t="s">
        <v>1117</v>
      </c>
      <c r="P250" s="10" t="s">
        <v>49</v>
      </c>
      <c r="Q250" s="10" t="n">
        <v>624.1948</v>
      </c>
      <c r="R250" s="10" t="n">
        <v>624.1948</v>
      </c>
      <c r="T250" s="10" t="n">
        <v>0.12</v>
      </c>
      <c r="U250" s="10" t="n">
        <v>0.2</v>
      </c>
      <c r="V250" s="10" t="n">
        <v>0.144</v>
      </c>
      <c r="W250" s="10" t="n">
        <v>0.77</v>
      </c>
      <c r="X250" s="10" t="n">
        <v>0.12</v>
      </c>
      <c r="Y250" s="10" t="n">
        <v>0.8624</v>
      </c>
      <c r="Z250" s="10" t="n">
        <v>628.18964672</v>
      </c>
    </row>
    <row r="251" customFormat="false" ht="13.5" hidden="false" customHeight="true" outlineLevel="0" collapsed="false">
      <c r="C251" s="10" t="s">
        <v>35</v>
      </c>
      <c r="D251" s="10" t="s">
        <v>254</v>
      </c>
      <c r="E251" s="10" t="s">
        <v>4</v>
      </c>
      <c r="F251" s="10" t="s">
        <v>1224</v>
      </c>
      <c r="G251" s="10" t="s">
        <v>68</v>
      </c>
      <c r="H251" s="10" t="s">
        <v>166</v>
      </c>
      <c r="I251" s="10" t="s">
        <v>111</v>
      </c>
      <c r="J251" s="10" t="s">
        <v>1100</v>
      </c>
      <c r="P251" s="10" t="s">
        <v>49</v>
      </c>
      <c r="Q251" s="10" t="n">
        <v>2823.61142</v>
      </c>
      <c r="R251" s="10" t="n">
        <v>2823.61142</v>
      </c>
      <c r="T251" s="10" t="n">
        <v>0.12</v>
      </c>
      <c r="U251" s="10" t="n">
        <v>0.2</v>
      </c>
      <c r="V251" s="10" t="n">
        <v>0.144</v>
      </c>
      <c r="W251" s="10" t="n">
        <v>0.78</v>
      </c>
      <c r="X251" s="10" t="n">
        <v>0.12</v>
      </c>
      <c r="Y251" s="10" t="n">
        <v>0.8736</v>
      </c>
      <c r="Z251" s="10" t="n">
        <v>2873.306980992</v>
      </c>
    </row>
    <row r="252" customFormat="false" ht="13.5" hidden="false" customHeight="true" outlineLevel="0" collapsed="false">
      <c r="C252" s="10" t="s">
        <v>35</v>
      </c>
      <c r="D252" s="10" t="s">
        <v>254</v>
      </c>
      <c r="E252" s="10" t="s">
        <v>4</v>
      </c>
      <c r="F252" s="10" t="s">
        <v>1224</v>
      </c>
      <c r="G252" s="10" t="s">
        <v>68</v>
      </c>
      <c r="H252" s="10" t="s">
        <v>166</v>
      </c>
      <c r="I252" s="10" t="s">
        <v>111</v>
      </c>
      <c r="J252" s="10" t="s">
        <v>1101</v>
      </c>
      <c r="P252" s="10" t="s">
        <v>49</v>
      </c>
      <c r="Q252" s="10" t="n">
        <v>295.33104</v>
      </c>
      <c r="R252" s="10" t="n">
        <v>295.33104</v>
      </c>
      <c r="T252" s="10" t="n">
        <v>0.11</v>
      </c>
      <c r="U252" s="10" t="n">
        <v>0.2</v>
      </c>
      <c r="V252" s="10" t="n">
        <v>0.132</v>
      </c>
      <c r="W252" s="10" t="n">
        <v>0.76</v>
      </c>
      <c r="X252" s="10" t="n">
        <v>0.12</v>
      </c>
      <c r="Y252" s="10" t="n">
        <v>0.8512</v>
      </c>
      <c r="Z252" s="10" t="n">
        <v>290.369478528</v>
      </c>
    </row>
    <row r="253" customFormat="false" ht="13.5" hidden="false" customHeight="true" outlineLevel="0" collapsed="false">
      <c r="C253" s="10" t="s">
        <v>35</v>
      </c>
      <c r="D253" s="10" t="s">
        <v>254</v>
      </c>
      <c r="E253" s="10" t="s">
        <v>4</v>
      </c>
      <c r="F253" s="10" t="s">
        <v>1224</v>
      </c>
      <c r="G253" s="10" t="s">
        <v>68</v>
      </c>
      <c r="H253" s="10" t="s">
        <v>166</v>
      </c>
      <c r="I253" s="10" t="s">
        <v>111</v>
      </c>
      <c r="J253" s="10" t="s">
        <v>1103</v>
      </c>
      <c r="P253" s="10" t="s">
        <v>49</v>
      </c>
      <c r="Q253" s="10" t="n">
        <v>2411.8152</v>
      </c>
      <c r="R253" s="10" t="n">
        <v>2411.8152</v>
      </c>
      <c r="T253" s="10" t="n">
        <v>0.1</v>
      </c>
      <c r="U253" s="10" t="n">
        <v>0.2</v>
      </c>
      <c r="V253" s="10" t="n">
        <v>0.12</v>
      </c>
      <c r="W253" s="10" t="n">
        <v>0.74</v>
      </c>
      <c r="X253" s="10" t="n">
        <v>0.12</v>
      </c>
      <c r="Y253" s="10" t="n">
        <v>0.8288</v>
      </c>
      <c r="Z253" s="10" t="n">
        <v>2288.33026176</v>
      </c>
    </row>
    <row r="254" customFormat="false" ht="13.5" hidden="false" customHeight="true" outlineLevel="0" collapsed="false">
      <c r="C254" s="10" t="s">
        <v>35</v>
      </c>
      <c r="D254" s="10" t="s">
        <v>254</v>
      </c>
      <c r="E254" s="10" t="s">
        <v>4</v>
      </c>
      <c r="F254" s="10" t="s">
        <v>1224</v>
      </c>
      <c r="G254" s="10" t="s">
        <v>68</v>
      </c>
      <c r="H254" s="10" t="s">
        <v>166</v>
      </c>
      <c r="I254" s="10" t="s">
        <v>111</v>
      </c>
      <c r="J254" s="10" t="s">
        <v>1104</v>
      </c>
      <c r="P254" s="10" t="s">
        <v>49</v>
      </c>
      <c r="Q254" s="10" t="n">
        <v>1819.6614</v>
      </c>
      <c r="R254" s="10" t="n">
        <v>1819.6614</v>
      </c>
      <c r="T254" s="10" t="n">
        <v>0.09</v>
      </c>
      <c r="U254" s="10" t="n">
        <v>0.2</v>
      </c>
      <c r="V254" s="10" t="n">
        <v>0.108</v>
      </c>
      <c r="W254" s="10" t="n">
        <v>0.73</v>
      </c>
      <c r="X254" s="10" t="n">
        <v>0.12</v>
      </c>
      <c r="Y254" s="10" t="n">
        <v>0.8176</v>
      </c>
      <c r="Z254" s="10" t="n">
        <v>1684.27859184</v>
      </c>
    </row>
    <row r="255" customFormat="false" ht="13.5" hidden="false" customHeight="true" outlineLevel="0" collapsed="false">
      <c r="C255" s="10" t="s">
        <v>35</v>
      </c>
      <c r="D255" s="10" t="s">
        <v>254</v>
      </c>
      <c r="E255" s="10" t="s">
        <v>4</v>
      </c>
      <c r="F255" s="10" t="s">
        <v>1224</v>
      </c>
      <c r="G255" s="10" t="s">
        <v>68</v>
      </c>
      <c r="H255" s="10" t="s">
        <v>166</v>
      </c>
      <c r="I255" s="10" t="s">
        <v>111</v>
      </c>
      <c r="J255" s="10" t="s">
        <v>1105</v>
      </c>
      <c r="P255" s="10" t="s">
        <v>49</v>
      </c>
      <c r="Q255" s="10" t="n">
        <v>7527.2208</v>
      </c>
      <c r="R255" s="10" t="n">
        <v>7527.2208</v>
      </c>
      <c r="T255" s="10" t="n">
        <v>0.08</v>
      </c>
      <c r="U255" s="10" t="n">
        <v>0.2</v>
      </c>
      <c r="V255" s="10" t="n">
        <v>0.096</v>
      </c>
      <c r="W255" s="10" t="n">
        <v>0.72</v>
      </c>
      <c r="X255" s="10" t="n">
        <v>0.12</v>
      </c>
      <c r="Y255" s="10" t="n">
        <v>0.8064</v>
      </c>
      <c r="Z255" s="10" t="n">
        <v>6792.56404992</v>
      </c>
    </row>
    <row r="256" customFormat="false" ht="13.5" hidden="false" customHeight="true" outlineLevel="0" collapsed="false">
      <c r="C256" s="10" t="s">
        <v>35</v>
      </c>
      <c r="D256" s="10" t="s">
        <v>254</v>
      </c>
      <c r="E256" s="10" t="s">
        <v>4</v>
      </c>
      <c r="F256" s="10" t="s">
        <v>1224</v>
      </c>
      <c r="G256" s="10" t="s">
        <v>68</v>
      </c>
      <c r="H256" s="10" t="s">
        <v>166</v>
      </c>
      <c r="I256" s="10" t="s">
        <v>1211</v>
      </c>
      <c r="J256" s="10" t="s">
        <v>1123</v>
      </c>
      <c r="P256" s="10" t="s">
        <v>49</v>
      </c>
      <c r="Q256" s="10" t="n">
        <v>620.0733864</v>
      </c>
      <c r="R256" s="10" t="n">
        <v>620.0733864</v>
      </c>
      <c r="T256" s="10" t="n">
        <v>0.05</v>
      </c>
      <c r="U256" s="10" t="n">
        <v>0.2</v>
      </c>
      <c r="V256" s="10" t="n">
        <v>0.06</v>
      </c>
      <c r="W256" s="10" t="n">
        <v>1.2</v>
      </c>
      <c r="X256" s="10" t="n">
        <v>0.12</v>
      </c>
      <c r="Y256" s="10" t="n">
        <v>1.344</v>
      </c>
      <c r="Z256" s="10" t="n">
        <v>870.5830345056</v>
      </c>
    </row>
    <row r="257" customFormat="false" ht="13.5" hidden="false" customHeight="true" outlineLevel="0" collapsed="false">
      <c r="C257" s="10" t="s">
        <v>35</v>
      </c>
      <c r="D257" s="10" t="s">
        <v>254</v>
      </c>
      <c r="E257" s="10" t="s">
        <v>4</v>
      </c>
      <c r="F257" s="10" t="s">
        <v>1224</v>
      </c>
      <c r="G257" s="10" t="s">
        <v>68</v>
      </c>
      <c r="H257" s="10" t="s">
        <v>170</v>
      </c>
      <c r="I257" s="10" t="s">
        <v>110</v>
      </c>
      <c r="J257" s="10" t="s">
        <v>1109</v>
      </c>
      <c r="P257" s="10" t="s">
        <v>47</v>
      </c>
      <c r="Q257" s="10" t="n">
        <v>87.15</v>
      </c>
      <c r="R257" s="10" t="n">
        <v>87.15</v>
      </c>
      <c r="T257" s="10" t="n">
        <v>10</v>
      </c>
      <c r="U257" s="10" t="n">
        <v>0.2</v>
      </c>
      <c r="V257" s="10" t="n">
        <v>12</v>
      </c>
      <c r="W257" s="10" t="n">
        <v>98</v>
      </c>
      <c r="X257" s="10" t="n">
        <v>0.12</v>
      </c>
      <c r="Y257" s="10" t="n">
        <v>109.76</v>
      </c>
      <c r="Z257" s="10" t="n">
        <v>10611.384</v>
      </c>
    </row>
    <row r="258" customFormat="false" ht="13.5" hidden="false" customHeight="true" outlineLevel="0" collapsed="false">
      <c r="C258" s="10" t="s">
        <v>35</v>
      </c>
      <c r="D258" s="10" t="s">
        <v>254</v>
      </c>
      <c r="E258" s="10" t="s">
        <v>4</v>
      </c>
      <c r="F258" s="10" t="s">
        <v>1224</v>
      </c>
      <c r="G258" s="10" t="s">
        <v>68</v>
      </c>
      <c r="H258" s="10" t="s">
        <v>170</v>
      </c>
      <c r="I258" s="10" t="s">
        <v>153</v>
      </c>
      <c r="J258" s="10" t="s">
        <v>153</v>
      </c>
      <c r="P258" s="10" t="s">
        <v>45</v>
      </c>
      <c r="Q258" s="10" t="n">
        <v>581</v>
      </c>
      <c r="R258" s="10" t="n">
        <v>581</v>
      </c>
      <c r="T258" s="10" t="n">
        <v>6</v>
      </c>
      <c r="U258" s="10" t="n">
        <v>0.2</v>
      </c>
      <c r="V258" s="10" t="n">
        <v>7.2</v>
      </c>
      <c r="W258" s="10" t="n">
        <v>5</v>
      </c>
      <c r="X258" s="10" t="n">
        <v>0.12</v>
      </c>
      <c r="Y258" s="10" t="n">
        <v>5.6</v>
      </c>
      <c r="Z258" s="10" t="n">
        <v>7436.8</v>
      </c>
    </row>
    <row r="259" customFormat="false" ht="13.5" hidden="false" customHeight="true" outlineLevel="0" collapsed="false">
      <c r="C259" s="10" t="s">
        <v>35</v>
      </c>
      <c r="D259" s="10" t="s">
        <v>254</v>
      </c>
      <c r="E259" s="10" t="s">
        <v>4</v>
      </c>
      <c r="F259" s="10" t="s">
        <v>1224</v>
      </c>
      <c r="G259" s="10" t="s">
        <v>68</v>
      </c>
      <c r="H259" s="10" t="s">
        <v>170</v>
      </c>
      <c r="I259" s="10" t="s">
        <v>111</v>
      </c>
      <c r="J259" s="10" t="s">
        <v>1100</v>
      </c>
      <c r="P259" s="10" t="s">
        <v>49</v>
      </c>
      <c r="Q259" s="10" t="n">
        <v>11514.5</v>
      </c>
      <c r="R259" s="10" t="n">
        <v>11514.5</v>
      </c>
      <c r="T259" s="10" t="n">
        <v>0.12</v>
      </c>
      <c r="U259" s="10" t="n">
        <v>0.2</v>
      </c>
      <c r="V259" s="10" t="n">
        <v>0.144</v>
      </c>
      <c r="W259" s="10" t="n">
        <v>0.78</v>
      </c>
      <c r="X259" s="10" t="n">
        <v>0.12</v>
      </c>
      <c r="Y259" s="10" t="n">
        <v>0.8736</v>
      </c>
      <c r="Z259" s="10" t="n">
        <v>11717.1552</v>
      </c>
    </row>
    <row r="260" customFormat="false" ht="13.5" hidden="false" customHeight="true" outlineLevel="0" collapsed="false">
      <c r="C260" s="10" t="s">
        <v>35</v>
      </c>
      <c r="D260" s="10" t="s">
        <v>254</v>
      </c>
      <c r="E260" s="10" t="s">
        <v>4</v>
      </c>
      <c r="F260" s="10" t="s">
        <v>1224</v>
      </c>
      <c r="G260" s="10" t="s">
        <v>68</v>
      </c>
      <c r="H260" s="10" t="s">
        <v>170</v>
      </c>
      <c r="I260" s="10" t="s">
        <v>111</v>
      </c>
      <c r="J260" s="10" t="s">
        <v>1101</v>
      </c>
      <c r="P260" s="10" t="s">
        <v>49</v>
      </c>
      <c r="Q260" s="10" t="n">
        <v>166.5</v>
      </c>
      <c r="R260" s="10" t="n">
        <v>166.5</v>
      </c>
      <c r="T260" s="10" t="n">
        <v>0.11</v>
      </c>
      <c r="U260" s="10" t="n">
        <v>0.2</v>
      </c>
      <c r="V260" s="10" t="n">
        <v>0.132</v>
      </c>
      <c r="W260" s="10" t="n">
        <v>0.76</v>
      </c>
      <c r="X260" s="10" t="n">
        <v>0.12</v>
      </c>
      <c r="Y260" s="10" t="n">
        <v>0.8512</v>
      </c>
      <c r="Z260" s="10" t="n">
        <v>163.7028</v>
      </c>
    </row>
    <row r="261" customFormat="false" ht="13.5" hidden="false" customHeight="true" outlineLevel="0" collapsed="false">
      <c r="C261" s="10" t="s">
        <v>35</v>
      </c>
      <c r="D261" s="10" t="s">
        <v>254</v>
      </c>
      <c r="E261" s="10" t="s">
        <v>4</v>
      </c>
      <c r="F261" s="10" t="s">
        <v>1224</v>
      </c>
      <c r="G261" s="10" t="s">
        <v>68</v>
      </c>
      <c r="H261" s="10" t="s">
        <v>170</v>
      </c>
      <c r="I261" s="10" t="s">
        <v>1211</v>
      </c>
      <c r="J261" s="10" t="s">
        <v>1123</v>
      </c>
      <c r="P261" s="10" t="s">
        <v>49</v>
      </c>
      <c r="Q261" s="10" t="n">
        <v>467.24</v>
      </c>
      <c r="R261" s="10" t="n">
        <v>467.24</v>
      </c>
      <c r="T261" s="10" t="n">
        <v>0.05</v>
      </c>
      <c r="U261" s="10" t="n">
        <v>0.2</v>
      </c>
      <c r="V261" s="10" t="n">
        <v>0.06</v>
      </c>
      <c r="W261" s="10" t="n">
        <v>1.2</v>
      </c>
      <c r="X261" s="10" t="n">
        <v>0.12</v>
      </c>
      <c r="Y261" s="10" t="n">
        <v>1.344</v>
      </c>
      <c r="Z261" s="10" t="n">
        <v>656.00496</v>
      </c>
    </row>
    <row r="262" customFormat="false" ht="13.5" hidden="false" customHeight="true" outlineLevel="0" collapsed="false">
      <c r="C262" s="10" t="s">
        <v>35</v>
      </c>
      <c r="D262" s="10" t="s">
        <v>254</v>
      </c>
      <c r="E262" s="10" t="s">
        <v>4</v>
      </c>
      <c r="F262" s="10" t="s">
        <v>1224</v>
      </c>
      <c r="G262" s="10" t="s">
        <v>68</v>
      </c>
      <c r="H262" s="10" t="s">
        <v>1218</v>
      </c>
      <c r="I262" s="10" t="s">
        <v>110</v>
      </c>
      <c r="J262" s="10" t="s">
        <v>1109</v>
      </c>
      <c r="P262" s="10" t="s">
        <v>47</v>
      </c>
      <c r="Q262" s="10" t="n">
        <v>23.43</v>
      </c>
      <c r="R262" s="10" t="n">
        <v>23.43</v>
      </c>
      <c r="T262" s="10" t="n">
        <v>10</v>
      </c>
      <c r="U262" s="10" t="n">
        <v>0.2</v>
      </c>
      <c r="V262" s="10" t="n">
        <v>12</v>
      </c>
      <c r="W262" s="10" t="n">
        <v>98</v>
      </c>
      <c r="X262" s="10" t="n">
        <v>0.12</v>
      </c>
      <c r="Y262" s="10" t="n">
        <v>109.76</v>
      </c>
      <c r="Z262" s="10" t="n">
        <v>2852.8368</v>
      </c>
    </row>
    <row r="263" customFormat="false" ht="13.5" hidden="false" customHeight="true" outlineLevel="0" collapsed="false">
      <c r="C263" s="10" t="s">
        <v>35</v>
      </c>
      <c r="D263" s="10" t="s">
        <v>254</v>
      </c>
      <c r="E263" s="10" t="s">
        <v>4</v>
      </c>
      <c r="F263" s="10" t="s">
        <v>1224</v>
      </c>
      <c r="G263" s="10" t="s">
        <v>68</v>
      </c>
      <c r="H263" s="10" t="s">
        <v>1218</v>
      </c>
      <c r="I263" s="10" t="s">
        <v>153</v>
      </c>
      <c r="J263" s="10" t="s">
        <v>153</v>
      </c>
      <c r="P263" s="10" t="s">
        <v>45</v>
      </c>
      <c r="Q263" s="10" t="n">
        <v>139.7</v>
      </c>
      <c r="R263" s="10" t="n">
        <v>139.7</v>
      </c>
      <c r="T263" s="10" t="n">
        <v>6</v>
      </c>
      <c r="U263" s="10" t="n">
        <v>0.2</v>
      </c>
      <c r="V263" s="10" t="n">
        <v>7.2</v>
      </c>
      <c r="W263" s="10" t="n">
        <v>5</v>
      </c>
      <c r="X263" s="10" t="n">
        <v>0.12</v>
      </c>
      <c r="Y263" s="10" t="n">
        <v>5.6</v>
      </c>
      <c r="Z263" s="10" t="n">
        <v>1788.16</v>
      </c>
    </row>
    <row r="264" customFormat="false" ht="13.5" hidden="false" customHeight="true" outlineLevel="0" collapsed="false">
      <c r="C264" s="10" t="s">
        <v>35</v>
      </c>
      <c r="D264" s="10" t="s">
        <v>254</v>
      </c>
      <c r="E264" s="10" t="s">
        <v>4</v>
      </c>
      <c r="F264" s="10" t="s">
        <v>1224</v>
      </c>
      <c r="G264" s="10" t="s">
        <v>68</v>
      </c>
      <c r="H264" s="10" t="s">
        <v>1218</v>
      </c>
      <c r="I264" s="10" t="s">
        <v>111</v>
      </c>
      <c r="J264" s="10" t="s">
        <v>1100</v>
      </c>
      <c r="P264" s="10" t="s">
        <v>49</v>
      </c>
      <c r="Q264" s="10" t="n">
        <v>241.864</v>
      </c>
      <c r="R264" s="10" t="n">
        <v>241.864</v>
      </c>
      <c r="T264" s="10" t="n">
        <v>0.12</v>
      </c>
      <c r="U264" s="10" t="n">
        <v>0.2</v>
      </c>
      <c r="V264" s="10" t="n">
        <v>0.144</v>
      </c>
      <c r="W264" s="10" t="n">
        <v>0.78</v>
      </c>
      <c r="X264" s="10" t="n">
        <v>0.12</v>
      </c>
      <c r="Y264" s="10" t="n">
        <v>0.8736</v>
      </c>
      <c r="Z264" s="10" t="n">
        <v>246.1208064</v>
      </c>
    </row>
    <row r="265" customFormat="false" ht="13.5" hidden="false" customHeight="true" outlineLevel="0" collapsed="false">
      <c r="C265" s="10" t="s">
        <v>35</v>
      </c>
      <c r="D265" s="10" t="s">
        <v>254</v>
      </c>
      <c r="E265" s="10" t="s">
        <v>4</v>
      </c>
      <c r="F265" s="10" t="s">
        <v>1224</v>
      </c>
      <c r="G265" s="10" t="s">
        <v>68</v>
      </c>
      <c r="H265" s="10" t="s">
        <v>1218</v>
      </c>
      <c r="I265" s="10" t="s">
        <v>111</v>
      </c>
      <c r="J265" s="10" t="s">
        <v>1101</v>
      </c>
      <c r="P265" s="10" t="s">
        <v>49</v>
      </c>
      <c r="Q265" s="10" t="n">
        <v>1071.6384</v>
      </c>
      <c r="R265" s="10" t="n">
        <v>1071.6384</v>
      </c>
      <c r="T265" s="10" t="n">
        <v>0.11</v>
      </c>
      <c r="U265" s="10" t="n">
        <v>0.2</v>
      </c>
      <c r="V265" s="10" t="n">
        <v>0.132</v>
      </c>
      <c r="W265" s="10" t="n">
        <v>0.76</v>
      </c>
      <c r="X265" s="10" t="n">
        <v>0.12</v>
      </c>
      <c r="Y265" s="10" t="n">
        <v>0.8512</v>
      </c>
      <c r="Z265" s="10" t="n">
        <v>1053.63487488</v>
      </c>
    </row>
    <row r="266" customFormat="false" ht="13.5" hidden="false" customHeight="true" outlineLevel="0" collapsed="false">
      <c r="C266" s="10" t="s">
        <v>35</v>
      </c>
      <c r="D266" s="10" t="s">
        <v>254</v>
      </c>
      <c r="E266" s="10" t="s">
        <v>4</v>
      </c>
      <c r="F266" s="10" t="s">
        <v>1224</v>
      </c>
      <c r="G266" s="10" t="s">
        <v>68</v>
      </c>
      <c r="H266" s="10" t="s">
        <v>1218</v>
      </c>
      <c r="I266" s="10" t="s">
        <v>111</v>
      </c>
      <c r="J266" s="10" t="s">
        <v>1102</v>
      </c>
      <c r="P266" s="10" t="s">
        <v>49</v>
      </c>
      <c r="Q266" s="10" t="n">
        <v>1122.4736</v>
      </c>
      <c r="R266" s="10" t="n">
        <v>1122.4736</v>
      </c>
      <c r="T266" s="10" t="n">
        <v>0.1</v>
      </c>
      <c r="U266" s="10" t="n">
        <v>0.2</v>
      </c>
      <c r="V266" s="10" t="n">
        <v>0.12</v>
      </c>
      <c r="W266" s="10" t="n">
        <v>0.75</v>
      </c>
      <c r="X266" s="10" t="n">
        <v>0.12</v>
      </c>
      <c r="Y266" s="10" t="n">
        <v>0.84</v>
      </c>
      <c r="Z266" s="10" t="n">
        <v>1077.574656</v>
      </c>
    </row>
    <row r="267" customFormat="false" ht="13.5" hidden="false" customHeight="true" outlineLevel="0" collapsed="false">
      <c r="C267" s="10" t="s">
        <v>35</v>
      </c>
      <c r="D267" s="10" t="s">
        <v>254</v>
      </c>
      <c r="E267" s="10" t="s">
        <v>4</v>
      </c>
      <c r="F267" s="10" t="s">
        <v>1224</v>
      </c>
      <c r="G267" s="10" t="s">
        <v>68</v>
      </c>
      <c r="H267" s="10" t="s">
        <v>1218</v>
      </c>
      <c r="I267" s="10" t="s">
        <v>111</v>
      </c>
      <c r="J267" s="10" t="s">
        <v>1104</v>
      </c>
      <c r="P267" s="10" t="s">
        <v>49</v>
      </c>
      <c r="Q267" s="10" t="n">
        <v>822.016</v>
      </c>
      <c r="R267" s="10" t="n">
        <v>822.016</v>
      </c>
      <c r="T267" s="10" t="n">
        <v>0.09</v>
      </c>
      <c r="U267" s="10" t="n">
        <v>0.2</v>
      </c>
      <c r="V267" s="10" t="n">
        <v>0.108</v>
      </c>
      <c r="W267" s="10" t="n">
        <v>0.73</v>
      </c>
      <c r="X267" s="10" t="n">
        <v>0.12</v>
      </c>
      <c r="Y267" s="10" t="n">
        <v>0.8176</v>
      </c>
      <c r="Z267" s="10" t="n">
        <v>760.8580096</v>
      </c>
    </row>
    <row r="268" customFormat="false" ht="13.5" hidden="false" customHeight="true" outlineLevel="0" collapsed="false">
      <c r="C268" s="10" t="s">
        <v>35</v>
      </c>
      <c r="D268" s="10" t="s">
        <v>254</v>
      </c>
      <c r="E268" s="10" t="s">
        <v>4</v>
      </c>
      <c r="F268" s="10" t="s">
        <v>1224</v>
      </c>
      <c r="G268" s="10" t="s">
        <v>68</v>
      </c>
      <c r="H268" s="10" t="s">
        <v>1218</v>
      </c>
      <c r="I268" s="10" t="s">
        <v>1211</v>
      </c>
      <c r="J268" s="10" t="s">
        <v>1123</v>
      </c>
      <c r="P268" s="10" t="s">
        <v>49</v>
      </c>
      <c r="Q268" s="10" t="n">
        <v>130.31968</v>
      </c>
      <c r="R268" s="10" t="n">
        <v>130.31968</v>
      </c>
      <c r="T268" s="10" t="n">
        <v>0.05</v>
      </c>
      <c r="U268" s="10" t="n">
        <v>0.2</v>
      </c>
      <c r="V268" s="10" t="n">
        <v>0.06</v>
      </c>
      <c r="W268" s="10" t="n">
        <v>1.2</v>
      </c>
      <c r="X268" s="10" t="n">
        <v>0.12</v>
      </c>
      <c r="Y268" s="10" t="n">
        <v>1.344</v>
      </c>
      <c r="Z268" s="10" t="n">
        <v>182.96883072</v>
      </c>
    </row>
    <row r="269" customFormat="false" ht="13.5" hidden="false" customHeight="true" outlineLevel="0" collapsed="false">
      <c r="C269" s="10" t="s">
        <v>35</v>
      </c>
      <c r="D269" s="10" t="s">
        <v>254</v>
      </c>
      <c r="E269" s="10" t="s">
        <v>4</v>
      </c>
      <c r="F269" s="10" t="s">
        <v>1224</v>
      </c>
      <c r="G269" s="10" t="s">
        <v>68</v>
      </c>
      <c r="H269" s="10" t="s">
        <v>180</v>
      </c>
      <c r="I269" s="10" t="s">
        <v>110</v>
      </c>
      <c r="J269" s="10" t="s">
        <v>1109</v>
      </c>
      <c r="P269" s="10" t="s">
        <v>47</v>
      </c>
      <c r="Q269" s="10" t="n">
        <v>5.016</v>
      </c>
      <c r="R269" s="10" t="n">
        <v>5.016</v>
      </c>
      <c r="T269" s="10" t="n">
        <v>10</v>
      </c>
      <c r="U269" s="10" t="n">
        <v>0.2</v>
      </c>
      <c r="V269" s="10" t="n">
        <v>12</v>
      </c>
      <c r="W269" s="10" t="n">
        <v>98</v>
      </c>
      <c r="X269" s="10" t="n">
        <v>0.12</v>
      </c>
      <c r="Y269" s="10" t="n">
        <v>109.76</v>
      </c>
      <c r="Z269" s="10" t="n">
        <v>610.74816</v>
      </c>
    </row>
    <row r="270" customFormat="false" ht="13.5" hidden="false" customHeight="true" outlineLevel="0" collapsed="false">
      <c r="C270" s="10" t="s">
        <v>35</v>
      </c>
      <c r="D270" s="10" t="s">
        <v>254</v>
      </c>
      <c r="E270" s="10" t="s">
        <v>4</v>
      </c>
      <c r="F270" s="10" t="s">
        <v>1224</v>
      </c>
      <c r="G270" s="10" t="s">
        <v>68</v>
      </c>
      <c r="H270" s="10" t="s">
        <v>180</v>
      </c>
      <c r="I270" s="10" t="s">
        <v>153</v>
      </c>
      <c r="J270" s="10" t="s">
        <v>153</v>
      </c>
      <c r="P270" s="10" t="s">
        <v>45</v>
      </c>
      <c r="Q270" s="10" t="n">
        <v>75.24</v>
      </c>
      <c r="R270" s="10" t="n">
        <v>75.24</v>
      </c>
      <c r="T270" s="10" t="n">
        <v>6</v>
      </c>
      <c r="U270" s="10" t="n">
        <v>0.2</v>
      </c>
      <c r="V270" s="10" t="n">
        <v>7.2</v>
      </c>
      <c r="W270" s="10" t="n">
        <v>5</v>
      </c>
      <c r="X270" s="10" t="n">
        <v>0.12</v>
      </c>
      <c r="Y270" s="10" t="n">
        <v>5.6</v>
      </c>
      <c r="Z270" s="10" t="n">
        <v>963.072</v>
      </c>
    </row>
    <row r="271" customFormat="false" ht="13.5" hidden="false" customHeight="true" outlineLevel="0" collapsed="false">
      <c r="C271" s="10" t="s">
        <v>35</v>
      </c>
      <c r="D271" s="10" t="s">
        <v>254</v>
      </c>
      <c r="E271" s="10" t="s">
        <v>4</v>
      </c>
      <c r="F271" s="10" t="s">
        <v>1224</v>
      </c>
      <c r="G271" s="10" t="s">
        <v>68</v>
      </c>
      <c r="H271" s="10" t="s">
        <v>180</v>
      </c>
      <c r="I271" s="10" t="s">
        <v>111</v>
      </c>
      <c r="J271" s="10" t="s">
        <v>1117</v>
      </c>
      <c r="P271" s="10" t="s">
        <v>49</v>
      </c>
      <c r="Q271" s="10" t="n">
        <v>50.16</v>
      </c>
      <c r="R271" s="10" t="n">
        <v>50.16</v>
      </c>
      <c r="T271" s="10" t="n">
        <v>0.12</v>
      </c>
      <c r="U271" s="10" t="n">
        <v>0.2</v>
      </c>
      <c r="V271" s="10" t="n">
        <v>0.144</v>
      </c>
      <c r="W271" s="10" t="n">
        <v>0.77</v>
      </c>
      <c r="X271" s="10" t="n">
        <v>0.12</v>
      </c>
      <c r="Y271" s="10" t="n">
        <v>0.8624</v>
      </c>
      <c r="Z271" s="10" t="n">
        <v>50.481024</v>
      </c>
    </row>
    <row r="272" customFormat="false" ht="13.5" hidden="false" customHeight="true" outlineLevel="0" collapsed="false">
      <c r="C272" s="10" t="s">
        <v>35</v>
      </c>
      <c r="D272" s="10" t="s">
        <v>254</v>
      </c>
      <c r="E272" s="10" t="s">
        <v>4</v>
      </c>
      <c r="F272" s="10" t="s">
        <v>1224</v>
      </c>
      <c r="G272" s="10" t="s">
        <v>68</v>
      </c>
      <c r="H272" s="10" t="s">
        <v>180</v>
      </c>
      <c r="I272" s="10" t="s">
        <v>111</v>
      </c>
      <c r="J272" s="10" t="s">
        <v>1101</v>
      </c>
      <c r="P272" s="10" t="s">
        <v>49</v>
      </c>
      <c r="Q272" s="10" t="n">
        <v>601.92</v>
      </c>
      <c r="R272" s="10" t="n">
        <v>601.92</v>
      </c>
      <c r="T272" s="10" t="n">
        <v>0.11</v>
      </c>
      <c r="U272" s="10" t="n">
        <v>0.2</v>
      </c>
      <c r="V272" s="10" t="n">
        <v>0.132</v>
      </c>
      <c r="W272" s="10" t="n">
        <v>0.76</v>
      </c>
      <c r="X272" s="10" t="n">
        <v>0.12</v>
      </c>
      <c r="Y272" s="10" t="n">
        <v>0.8512</v>
      </c>
      <c r="Z272" s="10" t="n">
        <v>591.807744</v>
      </c>
    </row>
    <row r="273" customFormat="false" ht="13.5" hidden="false" customHeight="true" outlineLevel="0" collapsed="false">
      <c r="C273" s="10" t="s">
        <v>35</v>
      </c>
      <c r="D273" s="10" t="s">
        <v>254</v>
      </c>
      <c r="E273" s="10" t="s">
        <v>4</v>
      </c>
      <c r="F273" s="10" t="s">
        <v>1224</v>
      </c>
      <c r="G273" s="10" t="s">
        <v>68</v>
      </c>
      <c r="H273" s="10" t="s">
        <v>180</v>
      </c>
      <c r="I273" s="10" t="s">
        <v>111</v>
      </c>
      <c r="J273" s="10" t="s">
        <v>1103</v>
      </c>
      <c r="P273" s="10" t="s">
        <v>49</v>
      </c>
      <c r="Q273" s="10" t="n">
        <v>125.4</v>
      </c>
      <c r="R273" s="10" t="n">
        <v>125.4</v>
      </c>
      <c r="T273" s="10" t="n">
        <v>0.1</v>
      </c>
      <c r="U273" s="10" t="n">
        <v>0.2</v>
      </c>
      <c r="V273" s="10" t="n">
        <v>0.12</v>
      </c>
      <c r="W273" s="10" t="n">
        <v>0.74</v>
      </c>
      <c r="X273" s="10" t="n">
        <v>0.12</v>
      </c>
      <c r="Y273" s="10" t="n">
        <v>0.8288</v>
      </c>
      <c r="Z273" s="10" t="n">
        <v>118.97952</v>
      </c>
    </row>
    <row r="274" customFormat="false" ht="13.5" hidden="false" customHeight="true" outlineLevel="0" collapsed="false">
      <c r="C274" s="10" t="s">
        <v>35</v>
      </c>
      <c r="D274" s="10" t="s">
        <v>254</v>
      </c>
      <c r="E274" s="10" t="s">
        <v>4</v>
      </c>
      <c r="F274" s="10" t="s">
        <v>1224</v>
      </c>
      <c r="G274" s="10" t="s">
        <v>68</v>
      </c>
      <c r="H274" s="10" t="s">
        <v>180</v>
      </c>
      <c r="I274" s="10" t="s">
        <v>1211</v>
      </c>
      <c r="J274" s="10" t="s">
        <v>1123</v>
      </c>
      <c r="P274" s="10" t="s">
        <v>49</v>
      </c>
      <c r="Q274" s="10" t="n">
        <v>31.0992</v>
      </c>
      <c r="R274" s="10" t="n">
        <v>31.0992</v>
      </c>
      <c r="T274" s="10" t="n">
        <v>0.05</v>
      </c>
      <c r="U274" s="10" t="n">
        <v>0.2</v>
      </c>
      <c r="V274" s="10" t="n">
        <v>0.06</v>
      </c>
      <c r="W274" s="10" t="n">
        <v>1.2</v>
      </c>
      <c r="X274" s="10" t="n">
        <v>0.12</v>
      </c>
      <c r="Y274" s="10" t="n">
        <v>1.344</v>
      </c>
      <c r="Z274" s="10" t="n">
        <v>43.6632768</v>
      </c>
    </row>
    <row r="275" customFormat="false" ht="13.5" hidden="false" customHeight="true" outlineLevel="0" collapsed="false">
      <c r="C275" s="10" t="s">
        <v>35</v>
      </c>
      <c r="D275" s="10" t="s">
        <v>254</v>
      </c>
      <c r="E275" s="10" t="s">
        <v>4</v>
      </c>
      <c r="F275" s="10" t="s">
        <v>1224</v>
      </c>
      <c r="G275" s="10" t="s">
        <v>68</v>
      </c>
      <c r="H275" s="10" t="s">
        <v>175</v>
      </c>
      <c r="I275" s="10" t="s">
        <v>110</v>
      </c>
      <c r="J275" s="10" t="s">
        <v>1109</v>
      </c>
      <c r="P275" s="10" t="s">
        <v>47</v>
      </c>
      <c r="Q275" s="10" t="n">
        <v>38.976</v>
      </c>
      <c r="R275" s="10" t="n">
        <v>38.976</v>
      </c>
      <c r="T275" s="10" t="n">
        <v>10</v>
      </c>
      <c r="U275" s="10" t="n">
        <v>0.2</v>
      </c>
      <c r="V275" s="10" t="n">
        <v>12</v>
      </c>
      <c r="W275" s="10" t="n">
        <v>98</v>
      </c>
      <c r="X275" s="10" t="n">
        <v>0.12</v>
      </c>
      <c r="Y275" s="10" t="n">
        <v>109.76</v>
      </c>
      <c r="Z275" s="10" t="n">
        <v>4745.71776</v>
      </c>
    </row>
    <row r="276" customFormat="false" ht="13.5" hidden="false" customHeight="true" outlineLevel="0" collapsed="false">
      <c r="C276" s="10" t="s">
        <v>35</v>
      </c>
      <c r="D276" s="10" t="s">
        <v>254</v>
      </c>
      <c r="E276" s="10" t="s">
        <v>4</v>
      </c>
      <c r="F276" s="10" t="s">
        <v>1224</v>
      </c>
      <c r="G276" s="10" t="s">
        <v>68</v>
      </c>
      <c r="H276" s="10" t="s">
        <v>175</v>
      </c>
      <c r="I276" s="10" t="s">
        <v>153</v>
      </c>
      <c r="J276" s="10" t="s">
        <v>153</v>
      </c>
      <c r="P276" s="10" t="s">
        <v>45</v>
      </c>
      <c r="Q276" s="10" t="n">
        <v>204.96</v>
      </c>
      <c r="R276" s="10" t="n">
        <v>204.96</v>
      </c>
      <c r="T276" s="10" t="n">
        <v>6</v>
      </c>
      <c r="U276" s="10" t="n">
        <v>0.2</v>
      </c>
      <c r="V276" s="10" t="n">
        <v>7.2</v>
      </c>
      <c r="W276" s="10" t="n">
        <v>5</v>
      </c>
      <c r="X276" s="10" t="n">
        <v>0.12</v>
      </c>
      <c r="Y276" s="10" t="n">
        <v>5.6</v>
      </c>
      <c r="Z276" s="10" t="n">
        <v>2623.488</v>
      </c>
    </row>
    <row r="277" customFormat="false" ht="13.5" hidden="false" customHeight="true" outlineLevel="0" collapsed="false">
      <c r="C277" s="10" t="s">
        <v>35</v>
      </c>
      <c r="D277" s="10" t="s">
        <v>254</v>
      </c>
      <c r="E277" s="10" t="s">
        <v>4</v>
      </c>
      <c r="F277" s="10" t="s">
        <v>1224</v>
      </c>
      <c r="G277" s="10" t="s">
        <v>68</v>
      </c>
      <c r="H277" s="10" t="s">
        <v>175</v>
      </c>
      <c r="I277" s="10" t="s">
        <v>111</v>
      </c>
      <c r="J277" s="10" t="s">
        <v>1100</v>
      </c>
      <c r="P277" s="10" t="s">
        <v>49</v>
      </c>
      <c r="Q277" s="10" t="n">
        <v>418.0792</v>
      </c>
      <c r="R277" s="10" t="n">
        <v>418.0792</v>
      </c>
      <c r="T277" s="10" t="n">
        <v>0.12</v>
      </c>
      <c r="U277" s="10" t="n">
        <v>0.2</v>
      </c>
      <c r="V277" s="10" t="n">
        <v>0.144</v>
      </c>
      <c r="W277" s="10" t="n">
        <v>0.78</v>
      </c>
      <c r="X277" s="10" t="n">
        <v>0.12</v>
      </c>
      <c r="Y277" s="10" t="n">
        <v>0.8736</v>
      </c>
      <c r="Z277" s="10" t="n">
        <v>425.43739392</v>
      </c>
    </row>
    <row r="278" customFormat="false" ht="13.5" hidden="false" customHeight="true" outlineLevel="0" collapsed="false">
      <c r="C278" s="10" t="s">
        <v>35</v>
      </c>
      <c r="D278" s="10" t="s">
        <v>254</v>
      </c>
      <c r="E278" s="10" t="s">
        <v>4</v>
      </c>
      <c r="F278" s="10" t="s">
        <v>1224</v>
      </c>
      <c r="G278" s="10" t="s">
        <v>68</v>
      </c>
      <c r="H278" s="10" t="s">
        <v>175</v>
      </c>
      <c r="I278" s="10" t="s">
        <v>111</v>
      </c>
      <c r="J278" s="10" t="s">
        <v>1101</v>
      </c>
      <c r="P278" s="10" t="s">
        <v>49</v>
      </c>
      <c r="Q278" s="10" t="n">
        <v>2118.4128</v>
      </c>
      <c r="R278" s="10" t="n">
        <v>2118.4128</v>
      </c>
      <c r="T278" s="10" t="n">
        <v>0.11</v>
      </c>
      <c r="U278" s="10" t="n">
        <v>0.2</v>
      </c>
      <c r="V278" s="10" t="n">
        <v>0.132</v>
      </c>
      <c r="W278" s="10" t="n">
        <v>0.76</v>
      </c>
      <c r="X278" s="10" t="n">
        <v>0.12</v>
      </c>
      <c r="Y278" s="10" t="n">
        <v>0.8512</v>
      </c>
      <c r="Z278" s="10" t="n">
        <v>2082.82346496</v>
      </c>
    </row>
    <row r="279" customFormat="false" ht="13.5" hidden="false" customHeight="true" outlineLevel="0" collapsed="false">
      <c r="C279" s="10" t="s">
        <v>35</v>
      </c>
      <c r="D279" s="10" t="s">
        <v>254</v>
      </c>
      <c r="E279" s="10" t="s">
        <v>4</v>
      </c>
      <c r="F279" s="10" t="s">
        <v>1224</v>
      </c>
      <c r="G279" s="10" t="s">
        <v>68</v>
      </c>
      <c r="H279" s="10" t="s">
        <v>175</v>
      </c>
      <c r="I279" s="10" t="s">
        <v>111</v>
      </c>
      <c r="J279" s="10" t="s">
        <v>1104</v>
      </c>
      <c r="P279" s="10" t="s">
        <v>49</v>
      </c>
      <c r="Q279" s="10" t="n">
        <v>1231.0272</v>
      </c>
      <c r="R279" s="10" t="n">
        <v>1231.0272</v>
      </c>
      <c r="T279" s="10" t="n">
        <v>0.09</v>
      </c>
      <c r="U279" s="10" t="n">
        <v>0.2</v>
      </c>
      <c r="V279" s="10" t="n">
        <v>0.108</v>
      </c>
      <c r="W279" s="10" t="n">
        <v>0.73</v>
      </c>
      <c r="X279" s="10" t="n">
        <v>0.12</v>
      </c>
      <c r="Y279" s="10" t="n">
        <v>0.8176</v>
      </c>
      <c r="Z279" s="10" t="n">
        <v>1139.43877632</v>
      </c>
    </row>
    <row r="280" customFormat="false" ht="13.5" hidden="false" customHeight="true" outlineLevel="0" collapsed="false">
      <c r="C280" s="10" t="s">
        <v>35</v>
      </c>
      <c r="D280" s="10" t="s">
        <v>254</v>
      </c>
      <c r="E280" s="10" t="s">
        <v>4</v>
      </c>
      <c r="F280" s="10" t="s">
        <v>1224</v>
      </c>
      <c r="G280" s="10" t="s">
        <v>68</v>
      </c>
      <c r="H280" s="10" t="s">
        <v>175</v>
      </c>
      <c r="I280" s="10" t="s">
        <v>111</v>
      </c>
      <c r="J280" s="10" t="s">
        <v>1105</v>
      </c>
      <c r="P280" s="10" t="s">
        <v>49</v>
      </c>
      <c r="Q280" s="10" t="n">
        <v>5365.9008</v>
      </c>
      <c r="R280" s="10" t="n">
        <v>5365.9008</v>
      </c>
      <c r="T280" s="10" t="n">
        <v>0.08</v>
      </c>
      <c r="U280" s="10" t="n">
        <v>0.2</v>
      </c>
      <c r="V280" s="10" t="n">
        <v>0.096</v>
      </c>
      <c r="W280" s="10" t="n">
        <v>0.72</v>
      </c>
      <c r="X280" s="10" t="n">
        <v>0.12</v>
      </c>
      <c r="Y280" s="10" t="n">
        <v>0.8064</v>
      </c>
      <c r="Z280" s="10" t="n">
        <v>4842.18888192</v>
      </c>
    </row>
    <row r="281" customFormat="false" ht="13.5" hidden="false" customHeight="true" outlineLevel="0" collapsed="false">
      <c r="C281" s="10" t="s">
        <v>35</v>
      </c>
      <c r="D281" s="10" t="s">
        <v>254</v>
      </c>
      <c r="E281" s="10" t="s">
        <v>4</v>
      </c>
      <c r="F281" s="10" t="s">
        <v>1224</v>
      </c>
      <c r="G281" s="10" t="s">
        <v>68</v>
      </c>
      <c r="H281" s="10" t="s">
        <v>175</v>
      </c>
      <c r="I281" s="10" t="s">
        <v>1211</v>
      </c>
      <c r="J281" s="10" t="s">
        <v>1123</v>
      </c>
      <c r="P281" s="10" t="s">
        <v>49</v>
      </c>
      <c r="Q281" s="10" t="n">
        <v>365.3368</v>
      </c>
      <c r="R281" s="10" t="n">
        <v>365.3368</v>
      </c>
      <c r="T281" s="10" t="n">
        <v>0.05</v>
      </c>
      <c r="U281" s="10" t="n">
        <v>0.2</v>
      </c>
      <c r="V281" s="10" t="n">
        <v>0.06</v>
      </c>
      <c r="W281" s="10" t="n">
        <v>1.2</v>
      </c>
      <c r="X281" s="10" t="n">
        <v>0.12</v>
      </c>
      <c r="Y281" s="10" t="n">
        <v>1.344</v>
      </c>
      <c r="Z281" s="10" t="n">
        <v>512.9328672</v>
      </c>
    </row>
    <row r="282" customFormat="false" ht="13.5" hidden="false" customHeight="true" outlineLevel="0" collapsed="false">
      <c r="C282" s="10" t="s">
        <v>35</v>
      </c>
      <c r="D282" s="10" t="s">
        <v>254</v>
      </c>
      <c r="E282" s="10" t="s">
        <v>4</v>
      </c>
      <c r="F282" s="10" t="s">
        <v>1225</v>
      </c>
      <c r="G282" s="10" t="s">
        <v>68</v>
      </c>
      <c r="H282" s="10" t="s">
        <v>166</v>
      </c>
      <c r="I282" s="10" t="s">
        <v>110</v>
      </c>
      <c r="J282" s="10" t="s">
        <v>1109</v>
      </c>
      <c r="P282" s="10" t="s">
        <v>47</v>
      </c>
      <c r="Q282" s="10" t="n">
        <v>46.74115</v>
      </c>
      <c r="R282" s="10" t="n">
        <v>46.74115</v>
      </c>
      <c r="T282" s="10" t="n">
        <v>10</v>
      </c>
      <c r="U282" s="10" t="n">
        <v>0.2</v>
      </c>
      <c r="V282" s="10" t="n">
        <v>12</v>
      </c>
      <c r="W282" s="10" t="n">
        <v>98</v>
      </c>
      <c r="X282" s="10" t="n">
        <v>0.12</v>
      </c>
      <c r="Y282" s="10" t="n">
        <v>109.76</v>
      </c>
      <c r="Z282" s="10" t="n">
        <v>5691.202424</v>
      </c>
    </row>
    <row r="283" customFormat="false" ht="13.5" hidden="false" customHeight="true" outlineLevel="0" collapsed="false">
      <c r="C283" s="10" t="s">
        <v>35</v>
      </c>
      <c r="D283" s="10" t="s">
        <v>254</v>
      </c>
      <c r="E283" s="10" t="s">
        <v>4</v>
      </c>
      <c r="F283" s="10" t="s">
        <v>1225</v>
      </c>
      <c r="G283" s="10" t="s">
        <v>68</v>
      </c>
      <c r="H283" s="10" t="s">
        <v>166</v>
      </c>
      <c r="I283" s="10" t="s">
        <v>153</v>
      </c>
      <c r="J283" s="10" t="s">
        <v>153</v>
      </c>
      <c r="P283" s="10" t="s">
        <v>45</v>
      </c>
      <c r="Q283" s="10" t="n">
        <v>446.526</v>
      </c>
      <c r="R283" s="10" t="n">
        <v>446.526</v>
      </c>
      <c r="T283" s="10" t="n">
        <v>6</v>
      </c>
      <c r="U283" s="10" t="n">
        <v>0.2</v>
      </c>
      <c r="V283" s="10" t="n">
        <v>7.2</v>
      </c>
      <c r="W283" s="10" t="n">
        <v>5</v>
      </c>
      <c r="X283" s="10" t="n">
        <v>0.12</v>
      </c>
      <c r="Y283" s="10" t="n">
        <v>5.6</v>
      </c>
      <c r="Z283" s="10" t="n">
        <v>5715.5328</v>
      </c>
    </row>
    <row r="284" customFormat="false" ht="13.5" hidden="false" customHeight="true" outlineLevel="0" collapsed="false">
      <c r="C284" s="10" t="s">
        <v>35</v>
      </c>
      <c r="D284" s="10" t="s">
        <v>254</v>
      </c>
      <c r="E284" s="10" t="s">
        <v>4</v>
      </c>
      <c r="F284" s="10" t="s">
        <v>1225</v>
      </c>
      <c r="G284" s="10" t="s">
        <v>68</v>
      </c>
      <c r="H284" s="10" t="s">
        <v>166</v>
      </c>
      <c r="I284" s="10" t="s">
        <v>111</v>
      </c>
      <c r="J284" s="10" t="s">
        <v>1117</v>
      </c>
      <c r="P284" s="10" t="s">
        <v>49</v>
      </c>
      <c r="Q284" s="10" t="n">
        <v>624.1948</v>
      </c>
      <c r="R284" s="10" t="n">
        <v>624.1948</v>
      </c>
      <c r="T284" s="10" t="n">
        <v>0.12</v>
      </c>
      <c r="U284" s="10" t="n">
        <v>0.2</v>
      </c>
      <c r="V284" s="10" t="n">
        <v>0.144</v>
      </c>
      <c r="W284" s="10" t="n">
        <v>0.77</v>
      </c>
      <c r="X284" s="10" t="n">
        <v>0.12</v>
      </c>
      <c r="Y284" s="10" t="n">
        <v>0.8624</v>
      </c>
      <c r="Z284" s="10" t="n">
        <v>628.18964672</v>
      </c>
    </row>
    <row r="285" customFormat="false" ht="13.5" hidden="false" customHeight="true" outlineLevel="0" collapsed="false">
      <c r="C285" s="10" t="s">
        <v>35</v>
      </c>
      <c r="D285" s="10" t="s">
        <v>254</v>
      </c>
      <c r="E285" s="10" t="s">
        <v>4</v>
      </c>
      <c r="F285" s="10" t="s">
        <v>1225</v>
      </c>
      <c r="G285" s="10" t="s">
        <v>68</v>
      </c>
      <c r="H285" s="10" t="s">
        <v>166</v>
      </c>
      <c r="I285" s="10" t="s">
        <v>111</v>
      </c>
      <c r="J285" s="10" t="s">
        <v>1100</v>
      </c>
      <c r="P285" s="10" t="s">
        <v>49</v>
      </c>
      <c r="Q285" s="10" t="n">
        <v>2823.61142</v>
      </c>
      <c r="R285" s="10" t="n">
        <v>2823.61142</v>
      </c>
      <c r="T285" s="10" t="n">
        <v>0.12</v>
      </c>
      <c r="U285" s="10" t="n">
        <v>0.2</v>
      </c>
      <c r="V285" s="10" t="n">
        <v>0.144</v>
      </c>
      <c r="W285" s="10" t="n">
        <v>0.78</v>
      </c>
      <c r="X285" s="10" t="n">
        <v>0.12</v>
      </c>
      <c r="Y285" s="10" t="n">
        <v>0.8736</v>
      </c>
      <c r="Z285" s="10" t="n">
        <v>2873.306980992</v>
      </c>
    </row>
    <row r="286" customFormat="false" ht="13.5" hidden="false" customHeight="true" outlineLevel="0" collapsed="false">
      <c r="C286" s="10" t="s">
        <v>35</v>
      </c>
      <c r="D286" s="10" t="s">
        <v>254</v>
      </c>
      <c r="E286" s="10" t="s">
        <v>4</v>
      </c>
      <c r="F286" s="10" t="s">
        <v>1225</v>
      </c>
      <c r="G286" s="10" t="s">
        <v>68</v>
      </c>
      <c r="H286" s="10" t="s">
        <v>166</v>
      </c>
      <c r="I286" s="10" t="s">
        <v>111</v>
      </c>
      <c r="J286" s="10" t="s">
        <v>1101</v>
      </c>
      <c r="P286" s="10" t="s">
        <v>49</v>
      </c>
      <c r="Q286" s="10" t="n">
        <v>295.33104</v>
      </c>
      <c r="R286" s="10" t="n">
        <v>295.33104</v>
      </c>
      <c r="T286" s="10" t="n">
        <v>0.11</v>
      </c>
      <c r="U286" s="10" t="n">
        <v>0.2</v>
      </c>
      <c r="V286" s="10" t="n">
        <v>0.132</v>
      </c>
      <c r="W286" s="10" t="n">
        <v>0.76</v>
      </c>
      <c r="X286" s="10" t="n">
        <v>0.12</v>
      </c>
      <c r="Y286" s="10" t="n">
        <v>0.8512</v>
      </c>
      <c r="Z286" s="10" t="n">
        <v>290.369478528</v>
      </c>
    </row>
    <row r="287" customFormat="false" ht="13.5" hidden="false" customHeight="true" outlineLevel="0" collapsed="false">
      <c r="C287" s="10" t="s">
        <v>35</v>
      </c>
      <c r="D287" s="10" t="s">
        <v>254</v>
      </c>
      <c r="E287" s="10" t="s">
        <v>4</v>
      </c>
      <c r="F287" s="10" t="s">
        <v>1225</v>
      </c>
      <c r="G287" s="10" t="s">
        <v>68</v>
      </c>
      <c r="H287" s="10" t="s">
        <v>166</v>
      </c>
      <c r="I287" s="10" t="s">
        <v>111</v>
      </c>
      <c r="J287" s="10" t="s">
        <v>1103</v>
      </c>
      <c r="P287" s="10" t="s">
        <v>49</v>
      </c>
      <c r="Q287" s="10" t="n">
        <v>2411.8152</v>
      </c>
      <c r="R287" s="10" t="n">
        <v>2411.8152</v>
      </c>
      <c r="T287" s="10" t="n">
        <v>0.1</v>
      </c>
      <c r="U287" s="10" t="n">
        <v>0.2</v>
      </c>
      <c r="V287" s="10" t="n">
        <v>0.12</v>
      </c>
      <c r="W287" s="10" t="n">
        <v>0.74</v>
      </c>
      <c r="X287" s="10" t="n">
        <v>0.12</v>
      </c>
      <c r="Y287" s="10" t="n">
        <v>0.8288</v>
      </c>
      <c r="Z287" s="10" t="n">
        <v>2288.33026176</v>
      </c>
    </row>
    <row r="288" customFormat="false" ht="13.5" hidden="false" customHeight="true" outlineLevel="0" collapsed="false">
      <c r="C288" s="10" t="s">
        <v>35</v>
      </c>
      <c r="D288" s="10" t="s">
        <v>254</v>
      </c>
      <c r="E288" s="10" t="s">
        <v>4</v>
      </c>
      <c r="F288" s="10" t="s">
        <v>1225</v>
      </c>
      <c r="G288" s="10" t="s">
        <v>68</v>
      </c>
      <c r="H288" s="10" t="s">
        <v>166</v>
      </c>
      <c r="I288" s="10" t="s">
        <v>111</v>
      </c>
      <c r="J288" s="10" t="s">
        <v>1104</v>
      </c>
      <c r="P288" s="10" t="s">
        <v>49</v>
      </c>
      <c r="Q288" s="10" t="n">
        <v>1819.6614</v>
      </c>
      <c r="R288" s="10" t="n">
        <v>1819.6614</v>
      </c>
      <c r="T288" s="10" t="n">
        <v>0.09</v>
      </c>
      <c r="U288" s="10" t="n">
        <v>0.2</v>
      </c>
      <c r="V288" s="10" t="n">
        <v>0.108</v>
      </c>
      <c r="W288" s="10" t="n">
        <v>0.73</v>
      </c>
      <c r="X288" s="10" t="n">
        <v>0.12</v>
      </c>
      <c r="Y288" s="10" t="n">
        <v>0.8176</v>
      </c>
      <c r="Z288" s="10" t="n">
        <v>1684.27859184</v>
      </c>
    </row>
    <row r="289" customFormat="false" ht="13.5" hidden="false" customHeight="true" outlineLevel="0" collapsed="false">
      <c r="C289" s="10" t="s">
        <v>35</v>
      </c>
      <c r="D289" s="10" t="s">
        <v>254</v>
      </c>
      <c r="E289" s="10" t="s">
        <v>4</v>
      </c>
      <c r="F289" s="10" t="s">
        <v>1225</v>
      </c>
      <c r="G289" s="10" t="s">
        <v>68</v>
      </c>
      <c r="H289" s="10" t="s">
        <v>166</v>
      </c>
      <c r="I289" s="10" t="s">
        <v>111</v>
      </c>
      <c r="J289" s="10" t="s">
        <v>1105</v>
      </c>
      <c r="P289" s="10" t="s">
        <v>49</v>
      </c>
      <c r="Q289" s="10" t="n">
        <v>7527.2208</v>
      </c>
      <c r="R289" s="10" t="n">
        <v>7527.2208</v>
      </c>
      <c r="T289" s="10" t="n">
        <v>0.08</v>
      </c>
      <c r="U289" s="10" t="n">
        <v>0.2</v>
      </c>
      <c r="V289" s="10" t="n">
        <v>0.096</v>
      </c>
      <c r="W289" s="10" t="n">
        <v>0.72</v>
      </c>
      <c r="X289" s="10" t="n">
        <v>0.12</v>
      </c>
      <c r="Y289" s="10" t="n">
        <v>0.8064</v>
      </c>
      <c r="Z289" s="10" t="n">
        <v>6792.56404992</v>
      </c>
    </row>
    <row r="290" customFormat="false" ht="13.5" hidden="false" customHeight="true" outlineLevel="0" collapsed="false">
      <c r="C290" s="10" t="s">
        <v>35</v>
      </c>
      <c r="D290" s="10" t="s">
        <v>254</v>
      </c>
      <c r="E290" s="10" t="s">
        <v>4</v>
      </c>
      <c r="F290" s="10" t="s">
        <v>1225</v>
      </c>
      <c r="G290" s="10" t="s">
        <v>68</v>
      </c>
      <c r="H290" s="10" t="s">
        <v>166</v>
      </c>
      <c r="I290" s="10" t="s">
        <v>1211</v>
      </c>
      <c r="J290" s="10" t="s">
        <v>1123</v>
      </c>
      <c r="P290" s="10" t="s">
        <v>49</v>
      </c>
      <c r="Q290" s="10" t="n">
        <v>620.0733864</v>
      </c>
      <c r="R290" s="10" t="n">
        <v>620.0733864</v>
      </c>
      <c r="T290" s="10" t="n">
        <v>0.05</v>
      </c>
      <c r="U290" s="10" t="n">
        <v>0.2</v>
      </c>
      <c r="V290" s="10" t="n">
        <v>0.06</v>
      </c>
      <c r="W290" s="10" t="n">
        <v>1.2</v>
      </c>
      <c r="X290" s="10" t="n">
        <v>0.12</v>
      </c>
      <c r="Y290" s="10" t="n">
        <v>1.344</v>
      </c>
      <c r="Z290" s="10" t="n">
        <v>870.5830345056</v>
      </c>
    </row>
    <row r="291" customFormat="false" ht="13.5" hidden="false" customHeight="true" outlineLevel="0" collapsed="false">
      <c r="C291" s="10" t="s">
        <v>35</v>
      </c>
      <c r="D291" s="10" t="s">
        <v>254</v>
      </c>
      <c r="E291" s="10" t="s">
        <v>4</v>
      </c>
      <c r="F291" s="10" t="s">
        <v>1225</v>
      </c>
      <c r="G291" s="10" t="s">
        <v>68</v>
      </c>
      <c r="H291" s="10" t="s">
        <v>170</v>
      </c>
      <c r="I291" s="10" t="s">
        <v>110</v>
      </c>
      <c r="J291" s="10" t="s">
        <v>1109</v>
      </c>
      <c r="P291" s="10" t="s">
        <v>47</v>
      </c>
      <c r="Q291" s="10" t="n">
        <v>87.15</v>
      </c>
      <c r="R291" s="10" t="n">
        <v>87.15</v>
      </c>
      <c r="T291" s="10" t="n">
        <v>10</v>
      </c>
      <c r="U291" s="10" t="n">
        <v>0.2</v>
      </c>
      <c r="V291" s="10" t="n">
        <v>12</v>
      </c>
      <c r="W291" s="10" t="n">
        <v>98</v>
      </c>
      <c r="X291" s="10" t="n">
        <v>0.12</v>
      </c>
      <c r="Y291" s="10" t="n">
        <v>109.76</v>
      </c>
      <c r="Z291" s="10" t="n">
        <v>10611.384</v>
      </c>
    </row>
    <row r="292" customFormat="false" ht="13.5" hidden="false" customHeight="true" outlineLevel="0" collapsed="false">
      <c r="C292" s="10" t="s">
        <v>35</v>
      </c>
      <c r="D292" s="10" t="s">
        <v>254</v>
      </c>
      <c r="E292" s="10" t="s">
        <v>4</v>
      </c>
      <c r="F292" s="10" t="s">
        <v>1225</v>
      </c>
      <c r="G292" s="10" t="s">
        <v>68</v>
      </c>
      <c r="H292" s="10" t="s">
        <v>170</v>
      </c>
      <c r="I292" s="10" t="s">
        <v>153</v>
      </c>
      <c r="J292" s="10" t="s">
        <v>153</v>
      </c>
      <c r="P292" s="10" t="s">
        <v>45</v>
      </c>
      <c r="Q292" s="10" t="n">
        <v>581</v>
      </c>
      <c r="R292" s="10" t="n">
        <v>581</v>
      </c>
      <c r="T292" s="10" t="n">
        <v>6</v>
      </c>
      <c r="U292" s="10" t="n">
        <v>0.2</v>
      </c>
      <c r="V292" s="10" t="n">
        <v>7.2</v>
      </c>
      <c r="W292" s="10" t="n">
        <v>5</v>
      </c>
      <c r="X292" s="10" t="n">
        <v>0.12</v>
      </c>
      <c r="Y292" s="10" t="n">
        <v>5.6</v>
      </c>
      <c r="Z292" s="10" t="n">
        <v>7436.8</v>
      </c>
    </row>
    <row r="293" customFormat="false" ht="13.5" hidden="false" customHeight="true" outlineLevel="0" collapsed="false">
      <c r="C293" s="10" t="s">
        <v>35</v>
      </c>
      <c r="D293" s="10" t="s">
        <v>254</v>
      </c>
      <c r="E293" s="10" t="s">
        <v>4</v>
      </c>
      <c r="F293" s="10" t="s">
        <v>1225</v>
      </c>
      <c r="G293" s="10" t="s">
        <v>68</v>
      </c>
      <c r="H293" s="10" t="s">
        <v>170</v>
      </c>
      <c r="I293" s="10" t="s">
        <v>111</v>
      </c>
      <c r="J293" s="10" t="s">
        <v>1100</v>
      </c>
      <c r="P293" s="10" t="s">
        <v>49</v>
      </c>
      <c r="Q293" s="10" t="n">
        <v>11514.5</v>
      </c>
      <c r="R293" s="10" t="n">
        <v>11514.5</v>
      </c>
      <c r="T293" s="10" t="n">
        <v>0.12</v>
      </c>
      <c r="U293" s="10" t="n">
        <v>0.2</v>
      </c>
      <c r="V293" s="10" t="n">
        <v>0.144</v>
      </c>
      <c r="W293" s="10" t="n">
        <v>0.78</v>
      </c>
      <c r="X293" s="10" t="n">
        <v>0.12</v>
      </c>
      <c r="Y293" s="10" t="n">
        <v>0.8736</v>
      </c>
      <c r="Z293" s="10" t="n">
        <v>11717.1552</v>
      </c>
    </row>
    <row r="294" customFormat="false" ht="13.5" hidden="false" customHeight="true" outlineLevel="0" collapsed="false">
      <c r="C294" s="10" t="s">
        <v>35</v>
      </c>
      <c r="D294" s="10" t="s">
        <v>254</v>
      </c>
      <c r="E294" s="10" t="s">
        <v>4</v>
      </c>
      <c r="F294" s="10" t="s">
        <v>1225</v>
      </c>
      <c r="G294" s="10" t="s">
        <v>68</v>
      </c>
      <c r="H294" s="10" t="s">
        <v>170</v>
      </c>
      <c r="I294" s="10" t="s">
        <v>111</v>
      </c>
      <c r="J294" s="10" t="s">
        <v>1101</v>
      </c>
      <c r="P294" s="10" t="s">
        <v>49</v>
      </c>
      <c r="Q294" s="10" t="n">
        <v>166.5</v>
      </c>
      <c r="R294" s="10" t="n">
        <v>166.5</v>
      </c>
      <c r="T294" s="10" t="n">
        <v>0.11</v>
      </c>
      <c r="U294" s="10" t="n">
        <v>0.2</v>
      </c>
      <c r="V294" s="10" t="n">
        <v>0.132</v>
      </c>
      <c r="W294" s="10" t="n">
        <v>0.76</v>
      </c>
      <c r="X294" s="10" t="n">
        <v>0.12</v>
      </c>
      <c r="Y294" s="10" t="n">
        <v>0.8512</v>
      </c>
      <c r="Z294" s="10" t="n">
        <v>163.7028</v>
      </c>
    </row>
    <row r="295" customFormat="false" ht="13.5" hidden="false" customHeight="true" outlineLevel="0" collapsed="false">
      <c r="C295" s="10" t="s">
        <v>35</v>
      </c>
      <c r="D295" s="10" t="s">
        <v>254</v>
      </c>
      <c r="E295" s="10" t="s">
        <v>4</v>
      </c>
      <c r="F295" s="10" t="s">
        <v>1225</v>
      </c>
      <c r="G295" s="10" t="s">
        <v>68</v>
      </c>
      <c r="H295" s="10" t="s">
        <v>170</v>
      </c>
      <c r="I295" s="10" t="s">
        <v>1211</v>
      </c>
      <c r="J295" s="10" t="s">
        <v>1123</v>
      </c>
      <c r="P295" s="10" t="s">
        <v>49</v>
      </c>
      <c r="Q295" s="10" t="n">
        <v>467.24</v>
      </c>
      <c r="R295" s="10" t="n">
        <v>467.24</v>
      </c>
      <c r="T295" s="10" t="n">
        <v>0.05</v>
      </c>
      <c r="U295" s="10" t="n">
        <v>0.2</v>
      </c>
      <c r="V295" s="10" t="n">
        <v>0.06</v>
      </c>
      <c r="W295" s="10" t="n">
        <v>1.2</v>
      </c>
      <c r="X295" s="10" t="n">
        <v>0.12</v>
      </c>
      <c r="Y295" s="10" t="n">
        <v>1.344</v>
      </c>
      <c r="Z295" s="10" t="n">
        <v>656.00496</v>
      </c>
    </row>
    <row r="296" customFormat="false" ht="13.5" hidden="false" customHeight="true" outlineLevel="0" collapsed="false">
      <c r="C296" s="10" t="s">
        <v>35</v>
      </c>
      <c r="D296" s="10" t="s">
        <v>254</v>
      </c>
      <c r="E296" s="10" t="s">
        <v>4</v>
      </c>
      <c r="F296" s="10" t="s">
        <v>1225</v>
      </c>
      <c r="G296" s="10" t="s">
        <v>68</v>
      </c>
      <c r="H296" s="10" t="s">
        <v>1218</v>
      </c>
      <c r="I296" s="10" t="s">
        <v>110</v>
      </c>
      <c r="J296" s="10" t="s">
        <v>1109</v>
      </c>
      <c r="P296" s="10" t="s">
        <v>47</v>
      </c>
      <c r="Q296" s="10" t="n">
        <v>23.43</v>
      </c>
      <c r="R296" s="10" t="n">
        <v>23.43</v>
      </c>
      <c r="T296" s="10" t="n">
        <v>10</v>
      </c>
      <c r="U296" s="10" t="n">
        <v>0.2</v>
      </c>
      <c r="V296" s="10" t="n">
        <v>12</v>
      </c>
      <c r="W296" s="10" t="n">
        <v>98</v>
      </c>
      <c r="X296" s="10" t="n">
        <v>0.12</v>
      </c>
      <c r="Y296" s="10" t="n">
        <v>109.76</v>
      </c>
      <c r="Z296" s="10" t="n">
        <v>2852.8368</v>
      </c>
    </row>
    <row r="297" customFormat="false" ht="13.5" hidden="false" customHeight="true" outlineLevel="0" collapsed="false">
      <c r="C297" s="10" t="s">
        <v>35</v>
      </c>
      <c r="D297" s="10" t="s">
        <v>254</v>
      </c>
      <c r="E297" s="10" t="s">
        <v>4</v>
      </c>
      <c r="F297" s="10" t="s">
        <v>1225</v>
      </c>
      <c r="G297" s="10" t="s">
        <v>68</v>
      </c>
      <c r="H297" s="10" t="s">
        <v>1218</v>
      </c>
      <c r="I297" s="10" t="s">
        <v>153</v>
      </c>
      <c r="J297" s="10" t="s">
        <v>153</v>
      </c>
      <c r="P297" s="10" t="s">
        <v>45</v>
      </c>
      <c r="Q297" s="10" t="n">
        <v>139.7</v>
      </c>
      <c r="R297" s="10" t="n">
        <v>139.7</v>
      </c>
      <c r="T297" s="10" t="n">
        <v>6</v>
      </c>
      <c r="U297" s="10" t="n">
        <v>0.2</v>
      </c>
      <c r="V297" s="10" t="n">
        <v>7.2</v>
      </c>
      <c r="W297" s="10" t="n">
        <v>5</v>
      </c>
      <c r="X297" s="10" t="n">
        <v>0.12</v>
      </c>
      <c r="Y297" s="10" t="n">
        <v>5.6</v>
      </c>
      <c r="Z297" s="10" t="n">
        <v>1788.16</v>
      </c>
    </row>
    <row r="298" customFormat="false" ht="13.5" hidden="false" customHeight="true" outlineLevel="0" collapsed="false">
      <c r="C298" s="10" t="s">
        <v>35</v>
      </c>
      <c r="D298" s="10" t="s">
        <v>254</v>
      </c>
      <c r="E298" s="10" t="s">
        <v>4</v>
      </c>
      <c r="F298" s="10" t="s">
        <v>1225</v>
      </c>
      <c r="G298" s="10" t="s">
        <v>68</v>
      </c>
      <c r="H298" s="10" t="s">
        <v>1218</v>
      </c>
      <c r="I298" s="10" t="s">
        <v>111</v>
      </c>
      <c r="J298" s="10" t="s">
        <v>1100</v>
      </c>
      <c r="P298" s="10" t="s">
        <v>49</v>
      </c>
      <c r="Q298" s="10" t="n">
        <v>241.864</v>
      </c>
      <c r="R298" s="10" t="n">
        <v>241.864</v>
      </c>
      <c r="T298" s="10" t="n">
        <v>0.12</v>
      </c>
      <c r="U298" s="10" t="n">
        <v>0.2</v>
      </c>
      <c r="V298" s="10" t="n">
        <v>0.144</v>
      </c>
      <c r="W298" s="10" t="n">
        <v>0.78</v>
      </c>
      <c r="X298" s="10" t="n">
        <v>0.12</v>
      </c>
      <c r="Y298" s="10" t="n">
        <v>0.8736</v>
      </c>
      <c r="Z298" s="10" t="n">
        <v>246.1208064</v>
      </c>
    </row>
    <row r="299" customFormat="false" ht="13.5" hidden="false" customHeight="true" outlineLevel="0" collapsed="false">
      <c r="C299" s="10" t="s">
        <v>35</v>
      </c>
      <c r="D299" s="10" t="s">
        <v>254</v>
      </c>
      <c r="E299" s="10" t="s">
        <v>4</v>
      </c>
      <c r="F299" s="10" t="s">
        <v>1225</v>
      </c>
      <c r="G299" s="10" t="s">
        <v>68</v>
      </c>
      <c r="H299" s="10" t="s">
        <v>1218</v>
      </c>
      <c r="I299" s="10" t="s">
        <v>111</v>
      </c>
      <c r="J299" s="10" t="s">
        <v>1101</v>
      </c>
      <c r="P299" s="10" t="s">
        <v>49</v>
      </c>
      <c r="Q299" s="10" t="n">
        <v>1071.6384</v>
      </c>
      <c r="R299" s="10" t="n">
        <v>1071.6384</v>
      </c>
      <c r="T299" s="10" t="n">
        <v>0.11</v>
      </c>
      <c r="U299" s="10" t="n">
        <v>0.2</v>
      </c>
      <c r="V299" s="10" t="n">
        <v>0.132</v>
      </c>
      <c r="W299" s="10" t="n">
        <v>0.76</v>
      </c>
      <c r="X299" s="10" t="n">
        <v>0.12</v>
      </c>
      <c r="Y299" s="10" t="n">
        <v>0.8512</v>
      </c>
      <c r="Z299" s="10" t="n">
        <v>1053.63487488</v>
      </c>
    </row>
    <row r="300" customFormat="false" ht="13.5" hidden="false" customHeight="true" outlineLevel="0" collapsed="false">
      <c r="C300" s="10" t="s">
        <v>35</v>
      </c>
      <c r="D300" s="10" t="s">
        <v>254</v>
      </c>
      <c r="E300" s="10" t="s">
        <v>4</v>
      </c>
      <c r="F300" s="10" t="s">
        <v>1225</v>
      </c>
      <c r="G300" s="10" t="s">
        <v>68</v>
      </c>
      <c r="H300" s="10" t="s">
        <v>1218</v>
      </c>
      <c r="I300" s="10" t="s">
        <v>111</v>
      </c>
      <c r="J300" s="10" t="s">
        <v>1102</v>
      </c>
      <c r="P300" s="10" t="s">
        <v>49</v>
      </c>
      <c r="Q300" s="10" t="n">
        <v>1122.4736</v>
      </c>
      <c r="R300" s="10" t="n">
        <v>1122.4736</v>
      </c>
      <c r="T300" s="10" t="n">
        <v>0.1</v>
      </c>
      <c r="U300" s="10" t="n">
        <v>0.2</v>
      </c>
      <c r="V300" s="10" t="n">
        <v>0.12</v>
      </c>
      <c r="W300" s="10" t="n">
        <v>0.75</v>
      </c>
      <c r="X300" s="10" t="n">
        <v>0.12</v>
      </c>
      <c r="Y300" s="10" t="n">
        <v>0.84</v>
      </c>
      <c r="Z300" s="10" t="n">
        <v>1077.574656</v>
      </c>
    </row>
    <row r="301" customFormat="false" ht="13.5" hidden="false" customHeight="true" outlineLevel="0" collapsed="false">
      <c r="C301" s="10" t="s">
        <v>35</v>
      </c>
      <c r="D301" s="10" t="s">
        <v>254</v>
      </c>
      <c r="E301" s="10" t="s">
        <v>4</v>
      </c>
      <c r="F301" s="10" t="s">
        <v>1225</v>
      </c>
      <c r="G301" s="10" t="s">
        <v>68</v>
      </c>
      <c r="H301" s="10" t="s">
        <v>1218</v>
      </c>
      <c r="I301" s="10" t="s">
        <v>111</v>
      </c>
      <c r="J301" s="10" t="s">
        <v>1104</v>
      </c>
      <c r="P301" s="10" t="s">
        <v>49</v>
      </c>
      <c r="Q301" s="10" t="n">
        <v>822.016</v>
      </c>
      <c r="R301" s="10" t="n">
        <v>822.016</v>
      </c>
      <c r="T301" s="10" t="n">
        <v>0.09</v>
      </c>
      <c r="U301" s="10" t="n">
        <v>0.2</v>
      </c>
      <c r="V301" s="10" t="n">
        <v>0.108</v>
      </c>
      <c r="W301" s="10" t="n">
        <v>0.73</v>
      </c>
      <c r="X301" s="10" t="n">
        <v>0.12</v>
      </c>
      <c r="Y301" s="10" t="n">
        <v>0.8176</v>
      </c>
      <c r="Z301" s="10" t="n">
        <v>760.8580096</v>
      </c>
    </row>
    <row r="302" customFormat="false" ht="13.5" hidden="false" customHeight="true" outlineLevel="0" collapsed="false">
      <c r="C302" s="10" t="s">
        <v>35</v>
      </c>
      <c r="D302" s="10" t="s">
        <v>254</v>
      </c>
      <c r="E302" s="10" t="s">
        <v>4</v>
      </c>
      <c r="F302" s="10" t="s">
        <v>1225</v>
      </c>
      <c r="G302" s="10" t="s">
        <v>68</v>
      </c>
      <c r="H302" s="10" t="s">
        <v>1218</v>
      </c>
      <c r="I302" s="10" t="s">
        <v>1211</v>
      </c>
      <c r="J302" s="10" t="s">
        <v>1123</v>
      </c>
      <c r="P302" s="10" t="s">
        <v>49</v>
      </c>
      <c r="Q302" s="10" t="n">
        <v>130.31968</v>
      </c>
      <c r="R302" s="10" t="n">
        <v>130.31968</v>
      </c>
      <c r="T302" s="10" t="n">
        <v>0.05</v>
      </c>
      <c r="U302" s="10" t="n">
        <v>0.2</v>
      </c>
      <c r="V302" s="10" t="n">
        <v>0.06</v>
      </c>
      <c r="W302" s="10" t="n">
        <v>1.2</v>
      </c>
      <c r="X302" s="10" t="n">
        <v>0.12</v>
      </c>
      <c r="Y302" s="10" t="n">
        <v>1.344</v>
      </c>
      <c r="Z302" s="10" t="n">
        <v>182.96883072</v>
      </c>
    </row>
    <row r="303" customFormat="false" ht="13.5" hidden="false" customHeight="true" outlineLevel="0" collapsed="false">
      <c r="C303" s="10" t="s">
        <v>35</v>
      </c>
      <c r="D303" s="10" t="s">
        <v>254</v>
      </c>
      <c r="E303" s="10" t="s">
        <v>4</v>
      </c>
      <c r="F303" s="10" t="s">
        <v>1225</v>
      </c>
      <c r="G303" s="10" t="s">
        <v>68</v>
      </c>
      <c r="H303" s="10" t="s">
        <v>180</v>
      </c>
      <c r="I303" s="10" t="s">
        <v>110</v>
      </c>
      <c r="J303" s="10" t="s">
        <v>1109</v>
      </c>
      <c r="P303" s="10" t="s">
        <v>47</v>
      </c>
      <c r="Q303" s="10" t="n">
        <v>5.016</v>
      </c>
      <c r="R303" s="10" t="n">
        <v>5.016</v>
      </c>
      <c r="T303" s="10" t="n">
        <v>10</v>
      </c>
      <c r="U303" s="10" t="n">
        <v>0.2</v>
      </c>
      <c r="V303" s="10" t="n">
        <v>12</v>
      </c>
      <c r="W303" s="10" t="n">
        <v>98</v>
      </c>
      <c r="X303" s="10" t="n">
        <v>0.12</v>
      </c>
      <c r="Y303" s="10" t="n">
        <v>109.76</v>
      </c>
      <c r="Z303" s="10" t="n">
        <v>610.74816</v>
      </c>
    </row>
    <row r="304" customFormat="false" ht="13.5" hidden="false" customHeight="true" outlineLevel="0" collapsed="false">
      <c r="C304" s="10" t="s">
        <v>35</v>
      </c>
      <c r="D304" s="10" t="s">
        <v>254</v>
      </c>
      <c r="E304" s="10" t="s">
        <v>4</v>
      </c>
      <c r="F304" s="10" t="s">
        <v>1225</v>
      </c>
      <c r="G304" s="10" t="s">
        <v>68</v>
      </c>
      <c r="H304" s="10" t="s">
        <v>180</v>
      </c>
      <c r="I304" s="10" t="s">
        <v>153</v>
      </c>
      <c r="J304" s="10" t="s">
        <v>153</v>
      </c>
      <c r="P304" s="10" t="s">
        <v>45</v>
      </c>
      <c r="Q304" s="10" t="n">
        <v>75.24</v>
      </c>
      <c r="R304" s="10" t="n">
        <v>75.24</v>
      </c>
      <c r="T304" s="10" t="n">
        <v>6</v>
      </c>
      <c r="U304" s="10" t="n">
        <v>0.2</v>
      </c>
      <c r="V304" s="10" t="n">
        <v>7.2</v>
      </c>
      <c r="W304" s="10" t="n">
        <v>5</v>
      </c>
      <c r="X304" s="10" t="n">
        <v>0.12</v>
      </c>
      <c r="Y304" s="10" t="n">
        <v>5.6</v>
      </c>
      <c r="Z304" s="10" t="n">
        <v>963.072</v>
      </c>
    </row>
    <row r="305" customFormat="false" ht="13.5" hidden="false" customHeight="true" outlineLevel="0" collapsed="false">
      <c r="C305" s="10" t="s">
        <v>35</v>
      </c>
      <c r="D305" s="10" t="s">
        <v>254</v>
      </c>
      <c r="E305" s="10" t="s">
        <v>4</v>
      </c>
      <c r="F305" s="10" t="s">
        <v>1225</v>
      </c>
      <c r="G305" s="10" t="s">
        <v>68</v>
      </c>
      <c r="H305" s="10" t="s">
        <v>180</v>
      </c>
      <c r="I305" s="10" t="s">
        <v>111</v>
      </c>
      <c r="J305" s="10" t="s">
        <v>1117</v>
      </c>
      <c r="P305" s="10" t="s">
        <v>49</v>
      </c>
      <c r="Q305" s="10" t="n">
        <v>50.16</v>
      </c>
      <c r="R305" s="10" t="n">
        <v>50.16</v>
      </c>
      <c r="T305" s="10" t="n">
        <v>0.12</v>
      </c>
      <c r="U305" s="10" t="n">
        <v>0.2</v>
      </c>
      <c r="V305" s="10" t="n">
        <v>0.144</v>
      </c>
      <c r="W305" s="10" t="n">
        <v>0.77</v>
      </c>
      <c r="X305" s="10" t="n">
        <v>0.12</v>
      </c>
      <c r="Y305" s="10" t="n">
        <v>0.8624</v>
      </c>
      <c r="Z305" s="10" t="n">
        <v>50.481024</v>
      </c>
    </row>
    <row r="306" customFormat="false" ht="13.5" hidden="false" customHeight="true" outlineLevel="0" collapsed="false">
      <c r="C306" s="10" t="s">
        <v>35</v>
      </c>
      <c r="D306" s="10" t="s">
        <v>254</v>
      </c>
      <c r="E306" s="10" t="s">
        <v>4</v>
      </c>
      <c r="F306" s="10" t="s">
        <v>1225</v>
      </c>
      <c r="G306" s="10" t="s">
        <v>68</v>
      </c>
      <c r="H306" s="10" t="s">
        <v>180</v>
      </c>
      <c r="I306" s="10" t="s">
        <v>111</v>
      </c>
      <c r="J306" s="10" t="s">
        <v>1101</v>
      </c>
      <c r="P306" s="10" t="s">
        <v>49</v>
      </c>
      <c r="Q306" s="10" t="n">
        <v>601.92</v>
      </c>
      <c r="R306" s="10" t="n">
        <v>601.92</v>
      </c>
      <c r="T306" s="10" t="n">
        <v>0.11</v>
      </c>
      <c r="U306" s="10" t="n">
        <v>0.2</v>
      </c>
      <c r="V306" s="10" t="n">
        <v>0.132</v>
      </c>
      <c r="W306" s="10" t="n">
        <v>0.76</v>
      </c>
      <c r="X306" s="10" t="n">
        <v>0.12</v>
      </c>
      <c r="Y306" s="10" t="n">
        <v>0.8512</v>
      </c>
      <c r="Z306" s="10" t="n">
        <v>591.807744</v>
      </c>
    </row>
    <row r="307" customFormat="false" ht="13.5" hidden="false" customHeight="true" outlineLevel="0" collapsed="false">
      <c r="C307" s="10" t="s">
        <v>35</v>
      </c>
      <c r="D307" s="10" t="s">
        <v>254</v>
      </c>
      <c r="E307" s="10" t="s">
        <v>4</v>
      </c>
      <c r="F307" s="10" t="s">
        <v>1225</v>
      </c>
      <c r="G307" s="10" t="s">
        <v>68</v>
      </c>
      <c r="H307" s="10" t="s">
        <v>180</v>
      </c>
      <c r="I307" s="10" t="s">
        <v>111</v>
      </c>
      <c r="J307" s="10" t="s">
        <v>1103</v>
      </c>
      <c r="P307" s="10" t="s">
        <v>49</v>
      </c>
      <c r="Q307" s="10" t="n">
        <v>125.4</v>
      </c>
      <c r="R307" s="10" t="n">
        <v>125.4</v>
      </c>
      <c r="T307" s="10" t="n">
        <v>0.1</v>
      </c>
      <c r="U307" s="10" t="n">
        <v>0.2</v>
      </c>
      <c r="V307" s="10" t="n">
        <v>0.12</v>
      </c>
      <c r="W307" s="10" t="n">
        <v>0.74</v>
      </c>
      <c r="X307" s="10" t="n">
        <v>0.12</v>
      </c>
      <c r="Y307" s="10" t="n">
        <v>0.8288</v>
      </c>
      <c r="Z307" s="10" t="n">
        <v>118.97952</v>
      </c>
    </row>
    <row r="308" customFormat="false" ht="13.5" hidden="false" customHeight="true" outlineLevel="0" collapsed="false">
      <c r="C308" s="10" t="s">
        <v>35</v>
      </c>
      <c r="D308" s="10" t="s">
        <v>254</v>
      </c>
      <c r="E308" s="10" t="s">
        <v>4</v>
      </c>
      <c r="F308" s="10" t="s">
        <v>1225</v>
      </c>
      <c r="G308" s="10" t="s">
        <v>68</v>
      </c>
      <c r="H308" s="10" t="s">
        <v>180</v>
      </c>
      <c r="I308" s="10" t="s">
        <v>1211</v>
      </c>
      <c r="J308" s="10" t="s">
        <v>1123</v>
      </c>
      <c r="P308" s="10" t="s">
        <v>49</v>
      </c>
      <c r="Q308" s="10" t="n">
        <v>31.0992</v>
      </c>
      <c r="R308" s="10" t="n">
        <v>31.0992</v>
      </c>
      <c r="T308" s="10" t="n">
        <v>0.05</v>
      </c>
      <c r="U308" s="10" t="n">
        <v>0.2</v>
      </c>
      <c r="V308" s="10" t="n">
        <v>0.06</v>
      </c>
      <c r="W308" s="10" t="n">
        <v>1.2</v>
      </c>
      <c r="X308" s="10" t="n">
        <v>0.12</v>
      </c>
      <c r="Y308" s="10" t="n">
        <v>1.344</v>
      </c>
      <c r="Z308" s="10" t="n">
        <v>43.6632768</v>
      </c>
    </row>
    <row r="309" customFormat="false" ht="13.5" hidden="false" customHeight="true" outlineLevel="0" collapsed="false">
      <c r="C309" s="10" t="s">
        <v>35</v>
      </c>
      <c r="D309" s="10" t="s">
        <v>254</v>
      </c>
      <c r="E309" s="10" t="s">
        <v>4</v>
      </c>
      <c r="F309" s="10" t="s">
        <v>1225</v>
      </c>
      <c r="G309" s="10" t="s">
        <v>68</v>
      </c>
      <c r="H309" s="10" t="s">
        <v>175</v>
      </c>
      <c r="I309" s="10" t="s">
        <v>110</v>
      </c>
      <c r="J309" s="10" t="s">
        <v>1109</v>
      </c>
      <c r="P309" s="10" t="s">
        <v>47</v>
      </c>
      <c r="Q309" s="10" t="n">
        <v>38.976</v>
      </c>
      <c r="R309" s="10" t="n">
        <v>38.976</v>
      </c>
      <c r="T309" s="10" t="n">
        <v>10</v>
      </c>
      <c r="U309" s="10" t="n">
        <v>0.2</v>
      </c>
      <c r="V309" s="10" t="n">
        <v>12</v>
      </c>
      <c r="W309" s="10" t="n">
        <v>98</v>
      </c>
      <c r="X309" s="10" t="n">
        <v>0.12</v>
      </c>
      <c r="Y309" s="10" t="n">
        <v>109.76</v>
      </c>
      <c r="Z309" s="10" t="n">
        <v>4745.71776</v>
      </c>
    </row>
    <row r="310" customFormat="false" ht="13.5" hidden="false" customHeight="true" outlineLevel="0" collapsed="false">
      <c r="C310" s="10" t="s">
        <v>35</v>
      </c>
      <c r="D310" s="10" t="s">
        <v>254</v>
      </c>
      <c r="E310" s="10" t="s">
        <v>4</v>
      </c>
      <c r="F310" s="10" t="s">
        <v>1225</v>
      </c>
      <c r="G310" s="10" t="s">
        <v>68</v>
      </c>
      <c r="H310" s="10" t="s">
        <v>175</v>
      </c>
      <c r="I310" s="10" t="s">
        <v>153</v>
      </c>
      <c r="J310" s="10" t="s">
        <v>153</v>
      </c>
      <c r="P310" s="10" t="s">
        <v>45</v>
      </c>
      <c r="Q310" s="10" t="n">
        <v>204.96</v>
      </c>
      <c r="R310" s="10" t="n">
        <v>204.96</v>
      </c>
      <c r="T310" s="10" t="n">
        <v>6</v>
      </c>
      <c r="U310" s="10" t="n">
        <v>0.2</v>
      </c>
      <c r="V310" s="10" t="n">
        <v>7.2</v>
      </c>
      <c r="W310" s="10" t="n">
        <v>5</v>
      </c>
      <c r="X310" s="10" t="n">
        <v>0.12</v>
      </c>
      <c r="Y310" s="10" t="n">
        <v>5.6</v>
      </c>
      <c r="Z310" s="10" t="n">
        <v>2623.488</v>
      </c>
    </row>
    <row r="311" customFormat="false" ht="13.5" hidden="false" customHeight="true" outlineLevel="0" collapsed="false">
      <c r="C311" s="10" t="s">
        <v>35</v>
      </c>
      <c r="D311" s="10" t="s">
        <v>254</v>
      </c>
      <c r="E311" s="10" t="s">
        <v>4</v>
      </c>
      <c r="F311" s="10" t="s">
        <v>1225</v>
      </c>
      <c r="G311" s="10" t="s">
        <v>68</v>
      </c>
      <c r="H311" s="10" t="s">
        <v>175</v>
      </c>
      <c r="I311" s="10" t="s">
        <v>111</v>
      </c>
      <c r="J311" s="10" t="s">
        <v>1100</v>
      </c>
      <c r="P311" s="10" t="s">
        <v>49</v>
      </c>
      <c r="Q311" s="10" t="n">
        <v>418.0792</v>
      </c>
      <c r="R311" s="10" t="n">
        <v>418.0792</v>
      </c>
      <c r="T311" s="10" t="n">
        <v>0.12</v>
      </c>
      <c r="U311" s="10" t="n">
        <v>0.2</v>
      </c>
      <c r="V311" s="10" t="n">
        <v>0.144</v>
      </c>
      <c r="W311" s="10" t="n">
        <v>0.78</v>
      </c>
      <c r="X311" s="10" t="n">
        <v>0.12</v>
      </c>
      <c r="Y311" s="10" t="n">
        <v>0.8736</v>
      </c>
      <c r="Z311" s="10" t="n">
        <v>425.43739392</v>
      </c>
    </row>
    <row r="312" customFormat="false" ht="13.5" hidden="false" customHeight="true" outlineLevel="0" collapsed="false">
      <c r="C312" s="10" t="s">
        <v>35</v>
      </c>
      <c r="D312" s="10" t="s">
        <v>254</v>
      </c>
      <c r="E312" s="10" t="s">
        <v>4</v>
      </c>
      <c r="F312" s="10" t="s">
        <v>1225</v>
      </c>
      <c r="G312" s="10" t="s">
        <v>68</v>
      </c>
      <c r="H312" s="10" t="s">
        <v>175</v>
      </c>
      <c r="I312" s="10" t="s">
        <v>111</v>
      </c>
      <c r="J312" s="10" t="s">
        <v>1101</v>
      </c>
      <c r="P312" s="10" t="s">
        <v>49</v>
      </c>
      <c r="Q312" s="10" t="n">
        <v>2118.4128</v>
      </c>
      <c r="R312" s="10" t="n">
        <v>2118.4128</v>
      </c>
      <c r="T312" s="10" t="n">
        <v>0.11</v>
      </c>
      <c r="U312" s="10" t="n">
        <v>0.2</v>
      </c>
      <c r="V312" s="10" t="n">
        <v>0.132</v>
      </c>
      <c r="W312" s="10" t="n">
        <v>0.76</v>
      </c>
      <c r="X312" s="10" t="n">
        <v>0.12</v>
      </c>
      <c r="Y312" s="10" t="n">
        <v>0.8512</v>
      </c>
      <c r="Z312" s="10" t="n">
        <v>2082.82346496</v>
      </c>
    </row>
    <row r="313" customFormat="false" ht="13.5" hidden="false" customHeight="true" outlineLevel="0" collapsed="false">
      <c r="C313" s="10" t="s">
        <v>35</v>
      </c>
      <c r="D313" s="10" t="s">
        <v>254</v>
      </c>
      <c r="E313" s="10" t="s">
        <v>4</v>
      </c>
      <c r="F313" s="10" t="s">
        <v>1225</v>
      </c>
      <c r="G313" s="10" t="s">
        <v>68</v>
      </c>
      <c r="H313" s="10" t="s">
        <v>175</v>
      </c>
      <c r="I313" s="10" t="s">
        <v>111</v>
      </c>
      <c r="J313" s="10" t="s">
        <v>1104</v>
      </c>
      <c r="P313" s="10" t="s">
        <v>49</v>
      </c>
      <c r="Q313" s="10" t="n">
        <v>1231.0272</v>
      </c>
      <c r="R313" s="10" t="n">
        <v>1231.0272</v>
      </c>
      <c r="T313" s="10" t="n">
        <v>0.09</v>
      </c>
      <c r="U313" s="10" t="n">
        <v>0.2</v>
      </c>
      <c r="V313" s="10" t="n">
        <v>0.108</v>
      </c>
      <c r="W313" s="10" t="n">
        <v>0.73</v>
      </c>
      <c r="X313" s="10" t="n">
        <v>0.12</v>
      </c>
      <c r="Y313" s="10" t="n">
        <v>0.8176</v>
      </c>
      <c r="Z313" s="10" t="n">
        <v>1139.43877632</v>
      </c>
    </row>
    <row r="314" customFormat="false" ht="13.5" hidden="false" customHeight="true" outlineLevel="0" collapsed="false">
      <c r="C314" s="10" t="s">
        <v>35</v>
      </c>
      <c r="D314" s="10" t="s">
        <v>254</v>
      </c>
      <c r="E314" s="10" t="s">
        <v>4</v>
      </c>
      <c r="F314" s="10" t="s">
        <v>1225</v>
      </c>
      <c r="G314" s="10" t="s">
        <v>68</v>
      </c>
      <c r="H314" s="10" t="s">
        <v>175</v>
      </c>
      <c r="I314" s="10" t="s">
        <v>111</v>
      </c>
      <c r="J314" s="10" t="s">
        <v>1105</v>
      </c>
      <c r="P314" s="10" t="s">
        <v>49</v>
      </c>
      <c r="Q314" s="10" t="n">
        <v>5365.9008</v>
      </c>
      <c r="R314" s="10" t="n">
        <v>5365.9008</v>
      </c>
      <c r="T314" s="10" t="n">
        <v>0.08</v>
      </c>
      <c r="U314" s="10" t="n">
        <v>0.2</v>
      </c>
      <c r="V314" s="10" t="n">
        <v>0.096</v>
      </c>
      <c r="W314" s="10" t="n">
        <v>0.72</v>
      </c>
      <c r="X314" s="10" t="n">
        <v>0.12</v>
      </c>
      <c r="Y314" s="10" t="n">
        <v>0.8064</v>
      </c>
      <c r="Z314" s="10" t="n">
        <v>4842.18888192</v>
      </c>
    </row>
    <row r="315" customFormat="false" ht="13.5" hidden="false" customHeight="true" outlineLevel="0" collapsed="false">
      <c r="C315" s="10" t="s">
        <v>35</v>
      </c>
      <c r="D315" s="10" t="s">
        <v>254</v>
      </c>
      <c r="E315" s="10" t="s">
        <v>4</v>
      </c>
      <c r="F315" s="10" t="s">
        <v>1225</v>
      </c>
      <c r="G315" s="10" t="s">
        <v>68</v>
      </c>
      <c r="H315" s="10" t="s">
        <v>175</v>
      </c>
      <c r="I315" s="10" t="s">
        <v>1211</v>
      </c>
      <c r="J315" s="10" t="s">
        <v>1123</v>
      </c>
      <c r="P315" s="10" t="s">
        <v>49</v>
      </c>
      <c r="Q315" s="10" t="n">
        <v>365.3368</v>
      </c>
      <c r="R315" s="10" t="n">
        <v>365.3368</v>
      </c>
      <c r="T315" s="10" t="n">
        <v>0.05</v>
      </c>
      <c r="U315" s="10" t="n">
        <v>0.2</v>
      </c>
      <c r="V315" s="10" t="n">
        <v>0.06</v>
      </c>
      <c r="W315" s="10" t="n">
        <v>1.2</v>
      </c>
      <c r="X315" s="10" t="n">
        <v>0.12</v>
      </c>
      <c r="Y315" s="10" t="n">
        <v>1.344</v>
      </c>
      <c r="Z315" s="10" t="n">
        <v>512.9328672</v>
      </c>
    </row>
    <row r="316" customFormat="false" ht="13.5" hidden="false" customHeight="true" outlineLevel="0" collapsed="false">
      <c r="C316" s="10" t="s">
        <v>35</v>
      </c>
      <c r="D316" s="10" t="s">
        <v>254</v>
      </c>
      <c r="E316" s="10" t="s">
        <v>4</v>
      </c>
      <c r="F316" s="10" t="s">
        <v>1226</v>
      </c>
      <c r="G316" s="10" t="s">
        <v>68</v>
      </c>
      <c r="H316" s="10" t="s">
        <v>166</v>
      </c>
      <c r="I316" s="10" t="s">
        <v>110</v>
      </c>
      <c r="J316" s="10" t="s">
        <v>1109</v>
      </c>
      <c r="P316" s="10" t="s">
        <v>47</v>
      </c>
      <c r="Q316" s="10" t="n">
        <v>46.74115</v>
      </c>
      <c r="R316" s="10" t="n">
        <v>46.74115</v>
      </c>
      <c r="T316" s="10" t="n">
        <v>10</v>
      </c>
      <c r="U316" s="10" t="n">
        <v>0.2</v>
      </c>
      <c r="V316" s="10" t="n">
        <v>12</v>
      </c>
      <c r="W316" s="10" t="n">
        <v>98</v>
      </c>
      <c r="X316" s="10" t="n">
        <v>0.12</v>
      </c>
      <c r="Y316" s="10" t="n">
        <v>109.76</v>
      </c>
      <c r="Z316" s="10" t="n">
        <v>5691.202424</v>
      </c>
    </row>
    <row r="317" customFormat="false" ht="13.5" hidden="false" customHeight="true" outlineLevel="0" collapsed="false">
      <c r="C317" s="10" t="s">
        <v>35</v>
      </c>
      <c r="D317" s="10" t="s">
        <v>254</v>
      </c>
      <c r="E317" s="10" t="s">
        <v>4</v>
      </c>
      <c r="F317" s="10" t="s">
        <v>1226</v>
      </c>
      <c r="G317" s="10" t="s">
        <v>68</v>
      </c>
      <c r="H317" s="10" t="s">
        <v>166</v>
      </c>
      <c r="I317" s="10" t="s">
        <v>153</v>
      </c>
      <c r="J317" s="10" t="s">
        <v>153</v>
      </c>
      <c r="P317" s="10" t="s">
        <v>45</v>
      </c>
      <c r="Q317" s="10" t="n">
        <v>446.526</v>
      </c>
      <c r="R317" s="10" t="n">
        <v>446.526</v>
      </c>
      <c r="T317" s="10" t="n">
        <v>6</v>
      </c>
      <c r="U317" s="10" t="n">
        <v>0.2</v>
      </c>
      <c r="V317" s="10" t="n">
        <v>7.2</v>
      </c>
      <c r="W317" s="10" t="n">
        <v>5</v>
      </c>
      <c r="X317" s="10" t="n">
        <v>0.12</v>
      </c>
      <c r="Y317" s="10" t="n">
        <v>5.6</v>
      </c>
      <c r="Z317" s="10" t="n">
        <v>5715.5328</v>
      </c>
    </row>
    <row r="318" customFormat="false" ht="13.5" hidden="false" customHeight="true" outlineLevel="0" collapsed="false">
      <c r="C318" s="10" t="s">
        <v>35</v>
      </c>
      <c r="D318" s="10" t="s">
        <v>254</v>
      </c>
      <c r="E318" s="10" t="s">
        <v>4</v>
      </c>
      <c r="F318" s="10" t="s">
        <v>1226</v>
      </c>
      <c r="G318" s="10" t="s">
        <v>68</v>
      </c>
      <c r="H318" s="10" t="s">
        <v>166</v>
      </c>
      <c r="I318" s="10" t="s">
        <v>111</v>
      </c>
      <c r="J318" s="10" t="s">
        <v>1117</v>
      </c>
      <c r="P318" s="10" t="s">
        <v>49</v>
      </c>
      <c r="Q318" s="10" t="n">
        <v>624.1948</v>
      </c>
      <c r="R318" s="10" t="n">
        <v>624.1948</v>
      </c>
      <c r="T318" s="10" t="n">
        <v>0.12</v>
      </c>
      <c r="U318" s="10" t="n">
        <v>0.2</v>
      </c>
      <c r="V318" s="10" t="n">
        <v>0.144</v>
      </c>
      <c r="W318" s="10" t="n">
        <v>0.77</v>
      </c>
      <c r="X318" s="10" t="n">
        <v>0.12</v>
      </c>
      <c r="Y318" s="10" t="n">
        <v>0.8624</v>
      </c>
      <c r="Z318" s="10" t="n">
        <v>628.18964672</v>
      </c>
    </row>
    <row r="319" customFormat="false" ht="13.5" hidden="false" customHeight="true" outlineLevel="0" collapsed="false">
      <c r="C319" s="10" t="s">
        <v>35</v>
      </c>
      <c r="D319" s="10" t="s">
        <v>254</v>
      </c>
      <c r="E319" s="10" t="s">
        <v>4</v>
      </c>
      <c r="F319" s="10" t="s">
        <v>1226</v>
      </c>
      <c r="G319" s="10" t="s">
        <v>68</v>
      </c>
      <c r="H319" s="10" t="s">
        <v>166</v>
      </c>
      <c r="I319" s="10" t="s">
        <v>111</v>
      </c>
      <c r="J319" s="10" t="s">
        <v>1100</v>
      </c>
      <c r="P319" s="10" t="s">
        <v>49</v>
      </c>
      <c r="Q319" s="10" t="n">
        <v>2823.61142</v>
      </c>
      <c r="R319" s="10" t="n">
        <v>2823.61142</v>
      </c>
      <c r="T319" s="10" t="n">
        <v>0.12</v>
      </c>
      <c r="U319" s="10" t="n">
        <v>0.2</v>
      </c>
      <c r="V319" s="10" t="n">
        <v>0.144</v>
      </c>
      <c r="W319" s="10" t="n">
        <v>0.78</v>
      </c>
      <c r="X319" s="10" t="n">
        <v>0.12</v>
      </c>
      <c r="Y319" s="10" t="n">
        <v>0.8736</v>
      </c>
      <c r="Z319" s="10" t="n">
        <v>2873.306980992</v>
      </c>
    </row>
    <row r="320" customFormat="false" ht="13.5" hidden="false" customHeight="true" outlineLevel="0" collapsed="false">
      <c r="C320" s="10" t="s">
        <v>35</v>
      </c>
      <c r="D320" s="10" t="s">
        <v>254</v>
      </c>
      <c r="E320" s="10" t="s">
        <v>4</v>
      </c>
      <c r="F320" s="10" t="s">
        <v>1226</v>
      </c>
      <c r="G320" s="10" t="s">
        <v>68</v>
      </c>
      <c r="H320" s="10" t="s">
        <v>166</v>
      </c>
      <c r="I320" s="10" t="s">
        <v>111</v>
      </c>
      <c r="J320" s="10" t="s">
        <v>1101</v>
      </c>
      <c r="P320" s="10" t="s">
        <v>49</v>
      </c>
      <c r="Q320" s="10" t="n">
        <v>295.33104</v>
      </c>
      <c r="R320" s="10" t="n">
        <v>295.33104</v>
      </c>
      <c r="T320" s="10" t="n">
        <v>0.11</v>
      </c>
      <c r="U320" s="10" t="n">
        <v>0.2</v>
      </c>
      <c r="V320" s="10" t="n">
        <v>0.132</v>
      </c>
      <c r="W320" s="10" t="n">
        <v>0.76</v>
      </c>
      <c r="X320" s="10" t="n">
        <v>0.12</v>
      </c>
      <c r="Y320" s="10" t="n">
        <v>0.8512</v>
      </c>
      <c r="Z320" s="10" t="n">
        <v>290.369478528</v>
      </c>
    </row>
    <row r="321" customFormat="false" ht="13.5" hidden="false" customHeight="true" outlineLevel="0" collapsed="false">
      <c r="C321" s="10" t="s">
        <v>35</v>
      </c>
      <c r="D321" s="10" t="s">
        <v>254</v>
      </c>
      <c r="E321" s="10" t="s">
        <v>4</v>
      </c>
      <c r="F321" s="10" t="s">
        <v>1226</v>
      </c>
      <c r="G321" s="10" t="s">
        <v>68</v>
      </c>
      <c r="H321" s="10" t="s">
        <v>166</v>
      </c>
      <c r="I321" s="10" t="s">
        <v>111</v>
      </c>
      <c r="J321" s="10" t="s">
        <v>1103</v>
      </c>
      <c r="P321" s="10" t="s">
        <v>49</v>
      </c>
      <c r="Q321" s="10" t="n">
        <v>2411.8152</v>
      </c>
      <c r="R321" s="10" t="n">
        <v>2411.8152</v>
      </c>
      <c r="T321" s="10" t="n">
        <v>0.1</v>
      </c>
      <c r="U321" s="10" t="n">
        <v>0.2</v>
      </c>
      <c r="V321" s="10" t="n">
        <v>0.12</v>
      </c>
      <c r="W321" s="10" t="n">
        <v>0.74</v>
      </c>
      <c r="X321" s="10" t="n">
        <v>0.12</v>
      </c>
      <c r="Y321" s="10" t="n">
        <v>0.8288</v>
      </c>
      <c r="Z321" s="10" t="n">
        <v>2288.33026176</v>
      </c>
    </row>
    <row r="322" customFormat="false" ht="13.5" hidden="false" customHeight="true" outlineLevel="0" collapsed="false">
      <c r="C322" s="10" t="s">
        <v>35</v>
      </c>
      <c r="D322" s="10" t="s">
        <v>254</v>
      </c>
      <c r="E322" s="10" t="s">
        <v>4</v>
      </c>
      <c r="F322" s="10" t="s">
        <v>1226</v>
      </c>
      <c r="G322" s="10" t="s">
        <v>68</v>
      </c>
      <c r="H322" s="10" t="s">
        <v>166</v>
      </c>
      <c r="I322" s="10" t="s">
        <v>111</v>
      </c>
      <c r="J322" s="10" t="s">
        <v>1104</v>
      </c>
      <c r="P322" s="10" t="s">
        <v>49</v>
      </c>
      <c r="Q322" s="10" t="n">
        <v>1819.6614</v>
      </c>
      <c r="R322" s="10" t="n">
        <v>1819.6614</v>
      </c>
      <c r="T322" s="10" t="n">
        <v>0.09</v>
      </c>
      <c r="U322" s="10" t="n">
        <v>0.2</v>
      </c>
      <c r="V322" s="10" t="n">
        <v>0.108</v>
      </c>
      <c r="W322" s="10" t="n">
        <v>0.73</v>
      </c>
      <c r="X322" s="10" t="n">
        <v>0.12</v>
      </c>
      <c r="Y322" s="10" t="n">
        <v>0.8176</v>
      </c>
      <c r="Z322" s="10" t="n">
        <v>1684.27859184</v>
      </c>
    </row>
    <row r="323" customFormat="false" ht="13.5" hidden="false" customHeight="true" outlineLevel="0" collapsed="false">
      <c r="C323" s="10" t="s">
        <v>35</v>
      </c>
      <c r="D323" s="10" t="s">
        <v>254</v>
      </c>
      <c r="E323" s="10" t="s">
        <v>4</v>
      </c>
      <c r="F323" s="10" t="s">
        <v>1226</v>
      </c>
      <c r="G323" s="10" t="s">
        <v>68</v>
      </c>
      <c r="H323" s="10" t="s">
        <v>166</v>
      </c>
      <c r="I323" s="10" t="s">
        <v>111</v>
      </c>
      <c r="J323" s="10" t="s">
        <v>1105</v>
      </c>
      <c r="P323" s="10" t="s">
        <v>49</v>
      </c>
      <c r="Q323" s="10" t="n">
        <v>7527.2208</v>
      </c>
      <c r="R323" s="10" t="n">
        <v>7527.2208</v>
      </c>
      <c r="T323" s="10" t="n">
        <v>0.08</v>
      </c>
      <c r="U323" s="10" t="n">
        <v>0.2</v>
      </c>
      <c r="V323" s="10" t="n">
        <v>0.096</v>
      </c>
      <c r="W323" s="10" t="n">
        <v>0.72</v>
      </c>
      <c r="X323" s="10" t="n">
        <v>0.12</v>
      </c>
      <c r="Y323" s="10" t="n">
        <v>0.8064</v>
      </c>
      <c r="Z323" s="10" t="n">
        <v>6792.56404992</v>
      </c>
    </row>
    <row r="324" customFormat="false" ht="13.5" hidden="false" customHeight="true" outlineLevel="0" collapsed="false">
      <c r="C324" s="10" t="s">
        <v>35</v>
      </c>
      <c r="D324" s="10" t="s">
        <v>254</v>
      </c>
      <c r="E324" s="10" t="s">
        <v>4</v>
      </c>
      <c r="F324" s="10" t="s">
        <v>1226</v>
      </c>
      <c r="G324" s="10" t="s">
        <v>68</v>
      </c>
      <c r="H324" s="10" t="s">
        <v>166</v>
      </c>
      <c r="I324" s="10" t="s">
        <v>1211</v>
      </c>
      <c r="J324" s="10" t="s">
        <v>1123</v>
      </c>
      <c r="P324" s="10" t="s">
        <v>49</v>
      </c>
      <c r="Q324" s="10" t="n">
        <v>620.0733864</v>
      </c>
      <c r="R324" s="10" t="n">
        <v>620.0733864</v>
      </c>
      <c r="T324" s="10" t="n">
        <v>0.05</v>
      </c>
      <c r="U324" s="10" t="n">
        <v>0.2</v>
      </c>
      <c r="V324" s="10" t="n">
        <v>0.06</v>
      </c>
      <c r="W324" s="10" t="n">
        <v>1.2</v>
      </c>
      <c r="X324" s="10" t="n">
        <v>0.12</v>
      </c>
      <c r="Y324" s="10" t="n">
        <v>1.344</v>
      </c>
      <c r="Z324" s="10" t="n">
        <v>870.5830345056</v>
      </c>
    </row>
    <row r="325" customFormat="false" ht="13.5" hidden="false" customHeight="true" outlineLevel="0" collapsed="false">
      <c r="C325" s="10" t="s">
        <v>35</v>
      </c>
      <c r="D325" s="10" t="s">
        <v>254</v>
      </c>
      <c r="E325" s="10" t="s">
        <v>4</v>
      </c>
      <c r="F325" s="10" t="s">
        <v>1226</v>
      </c>
      <c r="G325" s="10" t="s">
        <v>68</v>
      </c>
      <c r="H325" s="10" t="s">
        <v>170</v>
      </c>
      <c r="I325" s="10" t="s">
        <v>110</v>
      </c>
      <c r="J325" s="10" t="s">
        <v>1109</v>
      </c>
      <c r="P325" s="10" t="s">
        <v>47</v>
      </c>
      <c r="Q325" s="10" t="n">
        <v>87.15</v>
      </c>
      <c r="R325" s="10" t="n">
        <v>87.15</v>
      </c>
      <c r="T325" s="10" t="n">
        <v>10</v>
      </c>
      <c r="U325" s="10" t="n">
        <v>0.2</v>
      </c>
      <c r="V325" s="10" t="n">
        <v>12</v>
      </c>
      <c r="W325" s="10" t="n">
        <v>98</v>
      </c>
      <c r="X325" s="10" t="n">
        <v>0.12</v>
      </c>
      <c r="Y325" s="10" t="n">
        <v>109.76</v>
      </c>
      <c r="Z325" s="10" t="n">
        <v>10611.384</v>
      </c>
    </row>
    <row r="326" customFormat="false" ht="13.5" hidden="false" customHeight="true" outlineLevel="0" collapsed="false">
      <c r="C326" s="10" t="s">
        <v>35</v>
      </c>
      <c r="D326" s="10" t="s">
        <v>254</v>
      </c>
      <c r="E326" s="10" t="s">
        <v>4</v>
      </c>
      <c r="F326" s="10" t="s">
        <v>1226</v>
      </c>
      <c r="G326" s="10" t="s">
        <v>68</v>
      </c>
      <c r="H326" s="10" t="s">
        <v>170</v>
      </c>
      <c r="I326" s="10" t="s">
        <v>153</v>
      </c>
      <c r="J326" s="10" t="s">
        <v>153</v>
      </c>
      <c r="P326" s="10" t="s">
        <v>45</v>
      </c>
      <c r="Q326" s="10" t="n">
        <v>581</v>
      </c>
      <c r="R326" s="10" t="n">
        <v>581</v>
      </c>
      <c r="T326" s="10" t="n">
        <v>6</v>
      </c>
      <c r="U326" s="10" t="n">
        <v>0.2</v>
      </c>
      <c r="V326" s="10" t="n">
        <v>7.2</v>
      </c>
      <c r="W326" s="10" t="n">
        <v>5</v>
      </c>
      <c r="X326" s="10" t="n">
        <v>0.12</v>
      </c>
      <c r="Y326" s="10" t="n">
        <v>5.6</v>
      </c>
      <c r="Z326" s="10" t="n">
        <v>7436.8</v>
      </c>
    </row>
    <row r="327" customFormat="false" ht="13.5" hidden="false" customHeight="true" outlineLevel="0" collapsed="false">
      <c r="C327" s="10" t="s">
        <v>35</v>
      </c>
      <c r="D327" s="10" t="s">
        <v>254</v>
      </c>
      <c r="E327" s="10" t="s">
        <v>4</v>
      </c>
      <c r="F327" s="10" t="s">
        <v>1226</v>
      </c>
      <c r="G327" s="10" t="s">
        <v>68</v>
      </c>
      <c r="H327" s="10" t="s">
        <v>170</v>
      </c>
      <c r="I327" s="10" t="s">
        <v>111</v>
      </c>
      <c r="J327" s="10" t="s">
        <v>1100</v>
      </c>
      <c r="P327" s="10" t="s">
        <v>49</v>
      </c>
      <c r="Q327" s="10" t="n">
        <v>11514.5</v>
      </c>
      <c r="R327" s="10" t="n">
        <v>11514.5</v>
      </c>
      <c r="T327" s="10" t="n">
        <v>0.12</v>
      </c>
      <c r="U327" s="10" t="n">
        <v>0.2</v>
      </c>
      <c r="V327" s="10" t="n">
        <v>0.144</v>
      </c>
      <c r="W327" s="10" t="n">
        <v>0.78</v>
      </c>
      <c r="X327" s="10" t="n">
        <v>0.12</v>
      </c>
      <c r="Y327" s="10" t="n">
        <v>0.8736</v>
      </c>
      <c r="Z327" s="10" t="n">
        <v>11717.1552</v>
      </c>
    </row>
    <row r="328" customFormat="false" ht="13.5" hidden="false" customHeight="true" outlineLevel="0" collapsed="false">
      <c r="C328" s="10" t="s">
        <v>35</v>
      </c>
      <c r="D328" s="10" t="s">
        <v>254</v>
      </c>
      <c r="E328" s="10" t="s">
        <v>4</v>
      </c>
      <c r="F328" s="10" t="s">
        <v>1226</v>
      </c>
      <c r="G328" s="10" t="s">
        <v>68</v>
      </c>
      <c r="H328" s="10" t="s">
        <v>170</v>
      </c>
      <c r="I328" s="10" t="s">
        <v>111</v>
      </c>
      <c r="J328" s="10" t="s">
        <v>1101</v>
      </c>
      <c r="P328" s="10" t="s">
        <v>49</v>
      </c>
      <c r="Q328" s="10" t="n">
        <v>166.5</v>
      </c>
      <c r="R328" s="10" t="n">
        <v>166.5</v>
      </c>
      <c r="T328" s="10" t="n">
        <v>0.11</v>
      </c>
      <c r="U328" s="10" t="n">
        <v>0.2</v>
      </c>
      <c r="V328" s="10" t="n">
        <v>0.132</v>
      </c>
      <c r="W328" s="10" t="n">
        <v>0.76</v>
      </c>
      <c r="X328" s="10" t="n">
        <v>0.12</v>
      </c>
      <c r="Y328" s="10" t="n">
        <v>0.8512</v>
      </c>
      <c r="Z328" s="10" t="n">
        <v>163.7028</v>
      </c>
    </row>
    <row r="329" customFormat="false" ht="13.5" hidden="false" customHeight="true" outlineLevel="0" collapsed="false">
      <c r="C329" s="10" t="s">
        <v>35</v>
      </c>
      <c r="D329" s="10" t="s">
        <v>254</v>
      </c>
      <c r="E329" s="10" t="s">
        <v>4</v>
      </c>
      <c r="F329" s="10" t="s">
        <v>1226</v>
      </c>
      <c r="G329" s="10" t="s">
        <v>68</v>
      </c>
      <c r="H329" s="10" t="s">
        <v>170</v>
      </c>
      <c r="I329" s="10" t="s">
        <v>1211</v>
      </c>
      <c r="J329" s="10" t="s">
        <v>1123</v>
      </c>
      <c r="P329" s="10" t="s">
        <v>49</v>
      </c>
      <c r="Q329" s="10" t="n">
        <v>467.24</v>
      </c>
      <c r="R329" s="10" t="n">
        <v>467.24</v>
      </c>
      <c r="T329" s="10" t="n">
        <v>0.05</v>
      </c>
      <c r="U329" s="10" t="n">
        <v>0.2</v>
      </c>
      <c r="V329" s="10" t="n">
        <v>0.06</v>
      </c>
      <c r="W329" s="10" t="n">
        <v>1.2</v>
      </c>
      <c r="X329" s="10" t="n">
        <v>0.12</v>
      </c>
      <c r="Y329" s="10" t="n">
        <v>1.344</v>
      </c>
      <c r="Z329" s="10" t="n">
        <v>656.00496</v>
      </c>
    </row>
    <row r="330" customFormat="false" ht="13.5" hidden="false" customHeight="true" outlineLevel="0" collapsed="false">
      <c r="C330" s="10" t="s">
        <v>35</v>
      </c>
      <c r="D330" s="10" t="s">
        <v>254</v>
      </c>
      <c r="E330" s="10" t="s">
        <v>4</v>
      </c>
      <c r="F330" s="10" t="s">
        <v>1226</v>
      </c>
      <c r="G330" s="10" t="s">
        <v>68</v>
      </c>
      <c r="H330" s="10" t="s">
        <v>1218</v>
      </c>
      <c r="I330" s="10" t="s">
        <v>110</v>
      </c>
      <c r="J330" s="10" t="s">
        <v>1109</v>
      </c>
      <c r="P330" s="10" t="s">
        <v>47</v>
      </c>
      <c r="Q330" s="10" t="n">
        <v>23.43</v>
      </c>
      <c r="R330" s="10" t="n">
        <v>23.43</v>
      </c>
      <c r="T330" s="10" t="n">
        <v>10</v>
      </c>
      <c r="U330" s="10" t="n">
        <v>0.2</v>
      </c>
      <c r="V330" s="10" t="n">
        <v>12</v>
      </c>
      <c r="W330" s="10" t="n">
        <v>98</v>
      </c>
      <c r="X330" s="10" t="n">
        <v>0.12</v>
      </c>
      <c r="Y330" s="10" t="n">
        <v>109.76</v>
      </c>
      <c r="Z330" s="10" t="n">
        <v>2852.8368</v>
      </c>
    </row>
    <row r="331" customFormat="false" ht="13.5" hidden="false" customHeight="true" outlineLevel="0" collapsed="false">
      <c r="C331" s="10" t="s">
        <v>35</v>
      </c>
      <c r="D331" s="10" t="s">
        <v>254</v>
      </c>
      <c r="E331" s="10" t="s">
        <v>4</v>
      </c>
      <c r="F331" s="10" t="s">
        <v>1226</v>
      </c>
      <c r="G331" s="10" t="s">
        <v>68</v>
      </c>
      <c r="H331" s="10" t="s">
        <v>1218</v>
      </c>
      <c r="I331" s="10" t="s">
        <v>153</v>
      </c>
      <c r="J331" s="10" t="s">
        <v>153</v>
      </c>
      <c r="P331" s="10" t="s">
        <v>45</v>
      </c>
      <c r="Q331" s="10" t="n">
        <v>139.7</v>
      </c>
      <c r="R331" s="10" t="n">
        <v>139.7</v>
      </c>
      <c r="T331" s="10" t="n">
        <v>6</v>
      </c>
      <c r="U331" s="10" t="n">
        <v>0.2</v>
      </c>
      <c r="V331" s="10" t="n">
        <v>7.2</v>
      </c>
      <c r="W331" s="10" t="n">
        <v>5</v>
      </c>
      <c r="X331" s="10" t="n">
        <v>0.12</v>
      </c>
      <c r="Y331" s="10" t="n">
        <v>5.6</v>
      </c>
      <c r="Z331" s="10" t="n">
        <v>1788.16</v>
      </c>
    </row>
    <row r="332" customFormat="false" ht="13.5" hidden="false" customHeight="true" outlineLevel="0" collapsed="false">
      <c r="C332" s="10" t="s">
        <v>35</v>
      </c>
      <c r="D332" s="10" t="s">
        <v>254</v>
      </c>
      <c r="E332" s="10" t="s">
        <v>4</v>
      </c>
      <c r="F332" s="10" t="s">
        <v>1226</v>
      </c>
      <c r="G332" s="10" t="s">
        <v>68</v>
      </c>
      <c r="H332" s="10" t="s">
        <v>1218</v>
      </c>
      <c r="I332" s="10" t="s">
        <v>111</v>
      </c>
      <c r="J332" s="10" t="s">
        <v>1100</v>
      </c>
      <c r="P332" s="10" t="s">
        <v>49</v>
      </c>
      <c r="Q332" s="10" t="n">
        <v>241.864</v>
      </c>
      <c r="R332" s="10" t="n">
        <v>241.864</v>
      </c>
      <c r="T332" s="10" t="n">
        <v>0.12</v>
      </c>
      <c r="U332" s="10" t="n">
        <v>0.2</v>
      </c>
      <c r="V332" s="10" t="n">
        <v>0.144</v>
      </c>
      <c r="W332" s="10" t="n">
        <v>0.78</v>
      </c>
      <c r="X332" s="10" t="n">
        <v>0.12</v>
      </c>
      <c r="Y332" s="10" t="n">
        <v>0.8736</v>
      </c>
      <c r="Z332" s="10" t="n">
        <v>246.1208064</v>
      </c>
    </row>
    <row r="333" customFormat="false" ht="13.5" hidden="false" customHeight="true" outlineLevel="0" collapsed="false">
      <c r="C333" s="10" t="s">
        <v>35</v>
      </c>
      <c r="D333" s="10" t="s">
        <v>254</v>
      </c>
      <c r="E333" s="10" t="s">
        <v>4</v>
      </c>
      <c r="F333" s="10" t="s">
        <v>1226</v>
      </c>
      <c r="G333" s="10" t="s">
        <v>68</v>
      </c>
      <c r="H333" s="10" t="s">
        <v>1218</v>
      </c>
      <c r="I333" s="10" t="s">
        <v>111</v>
      </c>
      <c r="J333" s="10" t="s">
        <v>1101</v>
      </c>
      <c r="P333" s="10" t="s">
        <v>49</v>
      </c>
      <c r="Q333" s="10" t="n">
        <v>1071.6384</v>
      </c>
      <c r="R333" s="10" t="n">
        <v>1071.6384</v>
      </c>
      <c r="T333" s="10" t="n">
        <v>0.11</v>
      </c>
      <c r="U333" s="10" t="n">
        <v>0.2</v>
      </c>
      <c r="V333" s="10" t="n">
        <v>0.132</v>
      </c>
      <c r="W333" s="10" t="n">
        <v>0.76</v>
      </c>
      <c r="X333" s="10" t="n">
        <v>0.12</v>
      </c>
      <c r="Y333" s="10" t="n">
        <v>0.8512</v>
      </c>
      <c r="Z333" s="10" t="n">
        <v>1053.63487488</v>
      </c>
    </row>
    <row r="334" customFormat="false" ht="13.5" hidden="false" customHeight="true" outlineLevel="0" collapsed="false">
      <c r="C334" s="10" t="s">
        <v>35</v>
      </c>
      <c r="D334" s="10" t="s">
        <v>254</v>
      </c>
      <c r="E334" s="10" t="s">
        <v>4</v>
      </c>
      <c r="F334" s="10" t="s">
        <v>1226</v>
      </c>
      <c r="G334" s="10" t="s">
        <v>68</v>
      </c>
      <c r="H334" s="10" t="s">
        <v>1218</v>
      </c>
      <c r="I334" s="10" t="s">
        <v>111</v>
      </c>
      <c r="J334" s="10" t="s">
        <v>1102</v>
      </c>
      <c r="P334" s="10" t="s">
        <v>49</v>
      </c>
      <c r="Q334" s="10" t="n">
        <v>1122.4736</v>
      </c>
      <c r="R334" s="10" t="n">
        <v>1122.4736</v>
      </c>
      <c r="T334" s="10" t="n">
        <v>0.1</v>
      </c>
      <c r="U334" s="10" t="n">
        <v>0.2</v>
      </c>
      <c r="V334" s="10" t="n">
        <v>0.12</v>
      </c>
      <c r="W334" s="10" t="n">
        <v>0.75</v>
      </c>
      <c r="X334" s="10" t="n">
        <v>0.12</v>
      </c>
      <c r="Y334" s="10" t="n">
        <v>0.84</v>
      </c>
      <c r="Z334" s="10" t="n">
        <v>1077.574656</v>
      </c>
    </row>
    <row r="335" customFormat="false" ht="13.5" hidden="false" customHeight="true" outlineLevel="0" collapsed="false">
      <c r="C335" s="10" t="s">
        <v>35</v>
      </c>
      <c r="D335" s="10" t="s">
        <v>254</v>
      </c>
      <c r="E335" s="10" t="s">
        <v>4</v>
      </c>
      <c r="F335" s="10" t="s">
        <v>1226</v>
      </c>
      <c r="G335" s="10" t="s">
        <v>68</v>
      </c>
      <c r="H335" s="10" t="s">
        <v>1218</v>
      </c>
      <c r="I335" s="10" t="s">
        <v>111</v>
      </c>
      <c r="J335" s="10" t="s">
        <v>1104</v>
      </c>
      <c r="P335" s="10" t="s">
        <v>49</v>
      </c>
      <c r="Q335" s="10" t="n">
        <v>822.016</v>
      </c>
      <c r="R335" s="10" t="n">
        <v>822.016</v>
      </c>
      <c r="T335" s="10" t="n">
        <v>0.09</v>
      </c>
      <c r="U335" s="10" t="n">
        <v>0.2</v>
      </c>
      <c r="V335" s="10" t="n">
        <v>0.108</v>
      </c>
      <c r="W335" s="10" t="n">
        <v>0.73</v>
      </c>
      <c r="X335" s="10" t="n">
        <v>0.12</v>
      </c>
      <c r="Y335" s="10" t="n">
        <v>0.8176</v>
      </c>
      <c r="Z335" s="10" t="n">
        <v>760.8580096</v>
      </c>
    </row>
    <row r="336" customFormat="false" ht="13.5" hidden="false" customHeight="true" outlineLevel="0" collapsed="false">
      <c r="C336" s="10" t="s">
        <v>35</v>
      </c>
      <c r="D336" s="10" t="s">
        <v>254</v>
      </c>
      <c r="E336" s="10" t="s">
        <v>4</v>
      </c>
      <c r="F336" s="10" t="s">
        <v>1226</v>
      </c>
      <c r="G336" s="10" t="s">
        <v>68</v>
      </c>
      <c r="H336" s="10" t="s">
        <v>1218</v>
      </c>
      <c r="I336" s="10" t="s">
        <v>1211</v>
      </c>
      <c r="J336" s="10" t="s">
        <v>1123</v>
      </c>
      <c r="P336" s="10" t="s">
        <v>49</v>
      </c>
      <c r="Q336" s="10" t="n">
        <v>130.31968</v>
      </c>
      <c r="R336" s="10" t="n">
        <v>130.31968</v>
      </c>
      <c r="T336" s="10" t="n">
        <v>0.05</v>
      </c>
      <c r="U336" s="10" t="n">
        <v>0.2</v>
      </c>
      <c r="V336" s="10" t="n">
        <v>0.06</v>
      </c>
      <c r="W336" s="10" t="n">
        <v>1.2</v>
      </c>
      <c r="X336" s="10" t="n">
        <v>0.12</v>
      </c>
      <c r="Y336" s="10" t="n">
        <v>1.344</v>
      </c>
      <c r="Z336" s="10" t="n">
        <v>182.96883072</v>
      </c>
    </row>
    <row r="337" customFormat="false" ht="13.5" hidden="false" customHeight="true" outlineLevel="0" collapsed="false">
      <c r="C337" s="10" t="s">
        <v>35</v>
      </c>
      <c r="D337" s="10" t="s">
        <v>254</v>
      </c>
      <c r="E337" s="10" t="s">
        <v>4</v>
      </c>
      <c r="F337" s="10" t="s">
        <v>1226</v>
      </c>
      <c r="G337" s="10" t="s">
        <v>68</v>
      </c>
      <c r="H337" s="10" t="s">
        <v>180</v>
      </c>
      <c r="I337" s="10" t="s">
        <v>110</v>
      </c>
      <c r="J337" s="10" t="s">
        <v>1109</v>
      </c>
      <c r="P337" s="10" t="s">
        <v>47</v>
      </c>
      <c r="Q337" s="10" t="n">
        <v>5.016</v>
      </c>
      <c r="R337" s="10" t="n">
        <v>5.016</v>
      </c>
      <c r="T337" s="10" t="n">
        <v>10</v>
      </c>
      <c r="U337" s="10" t="n">
        <v>0.2</v>
      </c>
      <c r="V337" s="10" t="n">
        <v>12</v>
      </c>
      <c r="W337" s="10" t="n">
        <v>98</v>
      </c>
      <c r="X337" s="10" t="n">
        <v>0.12</v>
      </c>
      <c r="Y337" s="10" t="n">
        <v>109.76</v>
      </c>
      <c r="Z337" s="10" t="n">
        <v>610.74816</v>
      </c>
    </row>
    <row r="338" customFormat="false" ht="13.5" hidden="false" customHeight="true" outlineLevel="0" collapsed="false">
      <c r="C338" s="10" t="s">
        <v>35</v>
      </c>
      <c r="D338" s="10" t="s">
        <v>254</v>
      </c>
      <c r="E338" s="10" t="s">
        <v>4</v>
      </c>
      <c r="F338" s="10" t="s">
        <v>1226</v>
      </c>
      <c r="G338" s="10" t="s">
        <v>68</v>
      </c>
      <c r="H338" s="10" t="s">
        <v>180</v>
      </c>
      <c r="I338" s="10" t="s">
        <v>153</v>
      </c>
      <c r="J338" s="10" t="s">
        <v>153</v>
      </c>
      <c r="P338" s="10" t="s">
        <v>45</v>
      </c>
      <c r="Q338" s="10" t="n">
        <v>75.24</v>
      </c>
      <c r="R338" s="10" t="n">
        <v>75.24</v>
      </c>
      <c r="T338" s="10" t="n">
        <v>6</v>
      </c>
      <c r="U338" s="10" t="n">
        <v>0.2</v>
      </c>
      <c r="V338" s="10" t="n">
        <v>7.2</v>
      </c>
      <c r="W338" s="10" t="n">
        <v>5</v>
      </c>
      <c r="X338" s="10" t="n">
        <v>0.12</v>
      </c>
      <c r="Y338" s="10" t="n">
        <v>5.6</v>
      </c>
      <c r="Z338" s="10" t="n">
        <v>963.072</v>
      </c>
    </row>
    <row r="339" customFormat="false" ht="13.5" hidden="false" customHeight="true" outlineLevel="0" collapsed="false">
      <c r="C339" s="10" t="s">
        <v>35</v>
      </c>
      <c r="D339" s="10" t="s">
        <v>254</v>
      </c>
      <c r="E339" s="10" t="s">
        <v>4</v>
      </c>
      <c r="F339" s="10" t="s">
        <v>1226</v>
      </c>
      <c r="G339" s="10" t="s">
        <v>68</v>
      </c>
      <c r="H339" s="10" t="s">
        <v>180</v>
      </c>
      <c r="I339" s="10" t="s">
        <v>111</v>
      </c>
      <c r="J339" s="10" t="s">
        <v>1117</v>
      </c>
      <c r="P339" s="10" t="s">
        <v>49</v>
      </c>
      <c r="Q339" s="10" t="n">
        <v>50.16</v>
      </c>
      <c r="R339" s="10" t="n">
        <v>50.16</v>
      </c>
      <c r="T339" s="10" t="n">
        <v>0.12</v>
      </c>
      <c r="U339" s="10" t="n">
        <v>0.2</v>
      </c>
      <c r="V339" s="10" t="n">
        <v>0.144</v>
      </c>
      <c r="W339" s="10" t="n">
        <v>0.77</v>
      </c>
      <c r="X339" s="10" t="n">
        <v>0.12</v>
      </c>
      <c r="Y339" s="10" t="n">
        <v>0.8624</v>
      </c>
      <c r="Z339" s="10" t="n">
        <v>50.481024</v>
      </c>
    </row>
    <row r="340" customFormat="false" ht="13.5" hidden="false" customHeight="true" outlineLevel="0" collapsed="false">
      <c r="C340" s="10" t="s">
        <v>35</v>
      </c>
      <c r="D340" s="10" t="s">
        <v>254</v>
      </c>
      <c r="E340" s="10" t="s">
        <v>4</v>
      </c>
      <c r="F340" s="10" t="s">
        <v>1226</v>
      </c>
      <c r="G340" s="10" t="s">
        <v>68</v>
      </c>
      <c r="H340" s="10" t="s">
        <v>180</v>
      </c>
      <c r="I340" s="10" t="s">
        <v>111</v>
      </c>
      <c r="J340" s="10" t="s">
        <v>1101</v>
      </c>
      <c r="P340" s="10" t="s">
        <v>49</v>
      </c>
      <c r="Q340" s="10" t="n">
        <v>601.92</v>
      </c>
      <c r="R340" s="10" t="n">
        <v>601.92</v>
      </c>
      <c r="T340" s="10" t="n">
        <v>0.11</v>
      </c>
      <c r="U340" s="10" t="n">
        <v>0.2</v>
      </c>
      <c r="V340" s="10" t="n">
        <v>0.132</v>
      </c>
      <c r="W340" s="10" t="n">
        <v>0.76</v>
      </c>
      <c r="X340" s="10" t="n">
        <v>0.12</v>
      </c>
      <c r="Y340" s="10" t="n">
        <v>0.8512</v>
      </c>
      <c r="Z340" s="10" t="n">
        <v>591.807744</v>
      </c>
    </row>
    <row r="341" customFormat="false" ht="13.5" hidden="false" customHeight="true" outlineLevel="0" collapsed="false">
      <c r="C341" s="10" t="s">
        <v>35</v>
      </c>
      <c r="D341" s="10" t="s">
        <v>254</v>
      </c>
      <c r="E341" s="10" t="s">
        <v>4</v>
      </c>
      <c r="F341" s="10" t="s">
        <v>1226</v>
      </c>
      <c r="G341" s="10" t="s">
        <v>68</v>
      </c>
      <c r="H341" s="10" t="s">
        <v>180</v>
      </c>
      <c r="I341" s="10" t="s">
        <v>111</v>
      </c>
      <c r="J341" s="10" t="s">
        <v>1103</v>
      </c>
      <c r="P341" s="10" t="s">
        <v>49</v>
      </c>
      <c r="Q341" s="10" t="n">
        <v>125.4</v>
      </c>
      <c r="R341" s="10" t="n">
        <v>125.4</v>
      </c>
      <c r="T341" s="10" t="n">
        <v>0.1</v>
      </c>
      <c r="U341" s="10" t="n">
        <v>0.2</v>
      </c>
      <c r="V341" s="10" t="n">
        <v>0.12</v>
      </c>
      <c r="W341" s="10" t="n">
        <v>0.74</v>
      </c>
      <c r="X341" s="10" t="n">
        <v>0.12</v>
      </c>
      <c r="Y341" s="10" t="n">
        <v>0.8288</v>
      </c>
      <c r="Z341" s="10" t="n">
        <v>118.97952</v>
      </c>
    </row>
    <row r="342" customFormat="false" ht="13.5" hidden="false" customHeight="true" outlineLevel="0" collapsed="false">
      <c r="C342" s="10" t="s">
        <v>35</v>
      </c>
      <c r="D342" s="10" t="s">
        <v>254</v>
      </c>
      <c r="E342" s="10" t="s">
        <v>4</v>
      </c>
      <c r="F342" s="10" t="s">
        <v>1226</v>
      </c>
      <c r="G342" s="10" t="s">
        <v>68</v>
      </c>
      <c r="H342" s="10" t="s">
        <v>180</v>
      </c>
      <c r="I342" s="10" t="s">
        <v>1211</v>
      </c>
      <c r="J342" s="10" t="s">
        <v>1123</v>
      </c>
      <c r="P342" s="10" t="s">
        <v>49</v>
      </c>
      <c r="Q342" s="10" t="n">
        <v>31.0992</v>
      </c>
      <c r="R342" s="10" t="n">
        <v>31.0992</v>
      </c>
      <c r="T342" s="10" t="n">
        <v>0.05</v>
      </c>
      <c r="U342" s="10" t="n">
        <v>0.2</v>
      </c>
      <c r="V342" s="10" t="n">
        <v>0.06</v>
      </c>
      <c r="W342" s="10" t="n">
        <v>1.2</v>
      </c>
      <c r="X342" s="10" t="n">
        <v>0.12</v>
      </c>
      <c r="Y342" s="10" t="n">
        <v>1.344</v>
      </c>
      <c r="Z342" s="10" t="n">
        <v>43.6632768</v>
      </c>
    </row>
    <row r="343" customFormat="false" ht="13.5" hidden="false" customHeight="true" outlineLevel="0" collapsed="false">
      <c r="C343" s="10" t="s">
        <v>35</v>
      </c>
      <c r="D343" s="10" t="s">
        <v>254</v>
      </c>
      <c r="E343" s="10" t="s">
        <v>4</v>
      </c>
      <c r="F343" s="10" t="s">
        <v>1226</v>
      </c>
      <c r="G343" s="10" t="s">
        <v>68</v>
      </c>
      <c r="H343" s="10" t="s">
        <v>175</v>
      </c>
      <c r="I343" s="10" t="s">
        <v>110</v>
      </c>
      <c r="J343" s="10" t="s">
        <v>1109</v>
      </c>
      <c r="P343" s="10" t="s">
        <v>47</v>
      </c>
      <c r="Q343" s="10" t="n">
        <v>38.304</v>
      </c>
      <c r="R343" s="10" t="n">
        <v>38.304</v>
      </c>
      <c r="T343" s="10" t="n">
        <v>10</v>
      </c>
      <c r="U343" s="10" t="n">
        <v>0.2</v>
      </c>
      <c r="V343" s="10" t="n">
        <v>12</v>
      </c>
      <c r="W343" s="10" t="n">
        <v>98</v>
      </c>
      <c r="X343" s="10" t="n">
        <v>0.12</v>
      </c>
      <c r="Y343" s="10" t="n">
        <v>109.76</v>
      </c>
      <c r="Z343" s="10" t="n">
        <v>4663.89504</v>
      </c>
    </row>
    <row r="344" customFormat="false" ht="13.5" hidden="false" customHeight="true" outlineLevel="0" collapsed="false">
      <c r="C344" s="10" t="s">
        <v>35</v>
      </c>
      <c r="D344" s="10" t="s">
        <v>254</v>
      </c>
      <c r="E344" s="10" t="s">
        <v>4</v>
      </c>
      <c r="F344" s="10" t="s">
        <v>1226</v>
      </c>
      <c r="G344" s="10" t="s">
        <v>68</v>
      </c>
      <c r="H344" s="10" t="s">
        <v>175</v>
      </c>
      <c r="I344" s="10" t="s">
        <v>153</v>
      </c>
      <c r="J344" s="10" t="s">
        <v>153</v>
      </c>
      <c r="P344" s="10" t="s">
        <v>45</v>
      </c>
      <c r="Q344" s="10" t="n">
        <v>203.28</v>
      </c>
      <c r="R344" s="10" t="n">
        <v>203.28</v>
      </c>
      <c r="T344" s="10" t="n">
        <v>6</v>
      </c>
      <c r="U344" s="10" t="n">
        <v>0.2</v>
      </c>
      <c r="V344" s="10" t="n">
        <v>7.2</v>
      </c>
      <c r="W344" s="10" t="n">
        <v>5</v>
      </c>
      <c r="X344" s="10" t="n">
        <v>0.12</v>
      </c>
      <c r="Y344" s="10" t="n">
        <v>5.6</v>
      </c>
      <c r="Z344" s="10" t="n">
        <v>2601.984</v>
      </c>
    </row>
    <row r="345" customFormat="false" ht="13.5" hidden="false" customHeight="true" outlineLevel="0" collapsed="false">
      <c r="C345" s="10" t="s">
        <v>35</v>
      </c>
      <c r="D345" s="10" t="s">
        <v>254</v>
      </c>
      <c r="E345" s="10" t="s">
        <v>4</v>
      </c>
      <c r="F345" s="10" t="s">
        <v>1226</v>
      </c>
      <c r="G345" s="10" t="s">
        <v>68</v>
      </c>
      <c r="H345" s="10" t="s">
        <v>175</v>
      </c>
      <c r="I345" s="10" t="s">
        <v>111</v>
      </c>
      <c r="J345" s="10" t="s">
        <v>1100</v>
      </c>
      <c r="P345" s="10" t="s">
        <v>49</v>
      </c>
      <c r="Q345" s="10" t="n">
        <v>1889.9944</v>
      </c>
      <c r="R345" s="10" t="n">
        <v>1889.9944</v>
      </c>
      <c r="T345" s="10" t="n">
        <v>0.12</v>
      </c>
      <c r="U345" s="10" t="n">
        <v>0.2</v>
      </c>
      <c r="V345" s="10" t="n">
        <v>0.144</v>
      </c>
      <c r="W345" s="10" t="n">
        <v>0.78</v>
      </c>
      <c r="X345" s="10" t="n">
        <v>0.12</v>
      </c>
      <c r="Y345" s="10" t="n">
        <v>0.8736</v>
      </c>
      <c r="Z345" s="10" t="n">
        <v>1923.25830144</v>
      </c>
    </row>
    <row r="346" customFormat="false" ht="13.5" hidden="false" customHeight="true" outlineLevel="0" collapsed="false">
      <c r="C346" s="10" t="s">
        <v>35</v>
      </c>
      <c r="D346" s="10" t="s">
        <v>254</v>
      </c>
      <c r="E346" s="10" t="s">
        <v>4</v>
      </c>
      <c r="F346" s="10" t="s">
        <v>1226</v>
      </c>
      <c r="G346" s="10" t="s">
        <v>68</v>
      </c>
      <c r="H346" s="10" t="s">
        <v>175</v>
      </c>
      <c r="I346" s="10" t="s">
        <v>111</v>
      </c>
      <c r="J346" s="10" t="s">
        <v>1104</v>
      </c>
      <c r="P346" s="10" t="s">
        <v>49</v>
      </c>
      <c r="Q346" s="10" t="n">
        <v>4821.5232</v>
      </c>
      <c r="R346" s="10" t="n">
        <v>4821.5232</v>
      </c>
      <c r="T346" s="10" t="n">
        <v>0.09</v>
      </c>
      <c r="U346" s="10" t="n">
        <v>0.2</v>
      </c>
      <c r="V346" s="10" t="n">
        <v>0.108</v>
      </c>
      <c r="W346" s="10" t="n">
        <v>0.73</v>
      </c>
      <c r="X346" s="10" t="n">
        <v>0.12</v>
      </c>
      <c r="Y346" s="10" t="n">
        <v>0.8176</v>
      </c>
      <c r="Z346" s="10" t="n">
        <v>4462.80187392</v>
      </c>
    </row>
    <row r="347" customFormat="false" ht="13.5" hidden="false" customHeight="true" outlineLevel="0" collapsed="false">
      <c r="C347" s="10" t="s">
        <v>35</v>
      </c>
      <c r="D347" s="10" t="s">
        <v>254</v>
      </c>
      <c r="E347" s="10" t="s">
        <v>4</v>
      </c>
      <c r="F347" s="10" t="s">
        <v>1226</v>
      </c>
      <c r="G347" s="10" t="s">
        <v>68</v>
      </c>
      <c r="H347" s="10" t="s">
        <v>175</v>
      </c>
      <c r="I347" s="10" t="s">
        <v>1211</v>
      </c>
      <c r="J347" s="10" t="s">
        <v>1123</v>
      </c>
      <c r="P347" s="10" t="s">
        <v>49</v>
      </c>
      <c r="Q347" s="10" t="n">
        <v>268.460704</v>
      </c>
      <c r="R347" s="10" t="n">
        <v>268.460704</v>
      </c>
      <c r="T347" s="10" t="n">
        <v>0.05</v>
      </c>
      <c r="U347" s="10" t="n">
        <v>0.2</v>
      </c>
      <c r="V347" s="10" t="n">
        <v>0.06</v>
      </c>
      <c r="W347" s="10" t="n">
        <v>1.2</v>
      </c>
      <c r="X347" s="10" t="n">
        <v>0.12</v>
      </c>
      <c r="Y347" s="10" t="n">
        <v>1.344</v>
      </c>
      <c r="Z347" s="10" t="n">
        <v>376.918828416</v>
      </c>
    </row>
    <row r="348" customFormat="false" ht="13.5" hidden="false" customHeight="true" outlineLevel="0" collapsed="false">
      <c r="C348" s="10" t="s">
        <v>35</v>
      </c>
      <c r="D348" s="10" t="s">
        <v>254</v>
      </c>
      <c r="E348" s="10" t="s">
        <v>4</v>
      </c>
      <c r="F348" s="10" t="s">
        <v>1227</v>
      </c>
      <c r="G348" s="10" t="s">
        <v>68</v>
      </c>
      <c r="H348" s="10" t="s">
        <v>166</v>
      </c>
      <c r="I348" s="10" t="s">
        <v>110</v>
      </c>
      <c r="J348" s="10" t="s">
        <v>1109</v>
      </c>
      <c r="P348" s="10" t="s">
        <v>47</v>
      </c>
      <c r="Q348" s="10" t="n">
        <v>46.74115</v>
      </c>
      <c r="R348" s="10" t="n">
        <v>46.74115</v>
      </c>
      <c r="T348" s="10" t="n">
        <v>10</v>
      </c>
      <c r="U348" s="10" t="n">
        <v>0.2</v>
      </c>
      <c r="V348" s="10" t="n">
        <v>12</v>
      </c>
      <c r="W348" s="10" t="n">
        <v>98</v>
      </c>
      <c r="X348" s="10" t="n">
        <v>0.12</v>
      </c>
      <c r="Y348" s="10" t="n">
        <v>109.76</v>
      </c>
      <c r="Z348" s="10" t="n">
        <v>5691.202424</v>
      </c>
    </row>
    <row r="349" customFormat="false" ht="13.5" hidden="false" customHeight="true" outlineLevel="0" collapsed="false">
      <c r="C349" s="10" t="s">
        <v>35</v>
      </c>
      <c r="D349" s="10" t="s">
        <v>254</v>
      </c>
      <c r="E349" s="10" t="s">
        <v>4</v>
      </c>
      <c r="F349" s="10" t="s">
        <v>1227</v>
      </c>
      <c r="G349" s="10" t="s">
        <v>68</v>
      </c>
      <c r="H349" s="10" t="s">
        <v>166</v>
      </c>
      <c r="I349" s="10" t="s">
        <v>153</v>
      </c>
      <c r="J349" s="10" t="s">
        <v>153</v>
      </c>
      <c r="P349" s="10" t="s">
        <v>45</v>
      </c>
      <c r="Q349" s="10" t="n">
        <v>446.526</v>
      </c>
      <c r="R349" s="10" t="n">
        <v>446.526</v>
      </c>
      <c r="T349" s="10" t="n">
        <v>6</v>
      </c>
      <c r="U349" s="10" t="n">
        <v>0.2</v>
      </c>
      <c r="V349" s="10" t="n">
        <v>7.2</v>
      </c>
      <c r="W349" s="10" t="n">
        <v>5</v>
      </c>
      <c r="X349" s="10" t="n">
        <v>0.12</v>
      </c>
      <c r="Y349" s="10" t="n">
        <v>5.6</v>
      </c>
      <c r="Z349" s="10" t="n">
        <v>5715.5328</v>
      </c>
    </row>
    <row r="350" customFormat="false" ht="13.5" hidden="false" customHeight="true" outlineLevel="0" collapsed="false">
      <c r="C350" s="10" t="s">
        <v>35</v>
      </c>
      <c r="D350" s="10" t="s">
        <v>254</v>
      </c>
      <c r="E350" s="10" t="s">
        <v>4</v>
      </c>
      <c r="F350" s="10" t="s">
        <v>1227</v>
      </c>
      <c r="G350" s="10" t="s">
        <v>68</v>
      </c>
      <c r="H350" s="10" t="s">
        <v>166</v>
      </c>
      <c r="I350" s="10" t="s">
        <v>111</v>
      </c>
      <c r="J350" s="10" t="s">
        <v>1117</v>
      </c>
      <c r="P350" s="10" t="s">
        <v>49</v>
      </c>
      <c r="Q350" s="10" t="n">
        <v>624.1948</v>
      </c>
      <c r="R350" s="10" t="n">
        <v>624.1948</v>
      </c>
      <c r="T350" s="10" t="n">
        <v>0.12</v>
      </c>
      <c r="U350" s="10" t="n">
        <v>0.2</v>
      </c>
      <c r="V350" s="10" t="n">
        <v>0.144</v>
      </c>
      <c r="W350" s="10" t="n">
        <v>0.77</v>
      </c>
      <c r="X350" s="10" t="n">
        <v>0.12</v>
      </c>
      <c r="Y350" s="10" t="n">
        <v>0.8624</v>
      </c>
      <c r="Z350" s="10" t="n">
        <v>628.18964672</v>
      </c>
    </row>
    <row r="351" customFormat="false" ht="13.5" hidden="false" customHeight="true" outlineLevel="0" collapsed="false">
      <c r="C351" s="10" t="s">
        <v>35</v>
      </c>
      <c r="D351" s="10" t="s">
        <v>254</v>
      </c>
      <c r="E351" s="10" t="s">
        <v>4</v>
      </c>
      <c r="F351" s="10" t="s">
        <v>1227</v>
      </c>
      <c r="G351" s="10" t="s">
        <v>68</v>
      </c>
      <c r="H351" s="10" t="s">
        <v>166</v>
      </c>
      <c r="I351" s="10" t="s">
        <v>111</v>
      </c>
      <c r="J351" s="10" t="s">
        <v>1100</v>
      </c>
      <c r="P351" s="10" t="s">
        <v>49</v>
      </c>
      <c r="Q351" s="10" t="n">
        <v>2823.61142</v>
      </c>
      <c r="R351" s="10" t="n">
        <v>2823.61142</v>
      </c>
      <c r="T351" s="10" t="n">
        <v>0.12</v>
      </c>
      <c r="U351" s="10" t="n">
        <v>0.2</v>
      </c>
      <c r="V351" s="10" t="n">
        <v>0.144</v>
      </c>
      <c r="W351" s="10" t="n">
        <v>0.78</v>
      </c>
      <c r="X351" s="10" t="n">
        <v>0.12</v>
      </c>
      <c r="Y351" s="10" t="n">
        <v>0.8736</v>
      </c>
      <c r="Z351" s="10" t="n">
        <v>2873.306980992</v>
      </c>
    </row>
    <row r="352" customFormat="false" ht="13.5" hidden="false" customHeight="true" outlineLevel="0" collapsed="false">
      <c r="C352" s="10" t="s">
        <v>35</v>
      </c>
      <c r="D352" s="10" t="s">
        <v>254</v>
      </c>
      <c r="E352" s="10" t="s">
        <v>4</v>
      </c>
      <c r="F352" s="10" t="s">
        <v>1227</v>
      </c>
      <c r="G352" s="10" t="s">
        <v>68</v>
      </c>
      <c r="H352" s="10" t="s">
        <v>166</v>
      </c>
      <c r="I352" s="10" t="s">
        <v>111</v>
      </c>
      <c r="J352" s="10" t="s">
        <v>1101</v>
      </c>
      <c r="P352" s="10" t="s">
        <v>49</v>
      </c>
      <c r="Q352" s="10" t="n">
        <v>295.33104</v>
      </c>
      <c r="R352" s="10" t="n">
        <v>295.33104</v>
      </c>
      <c r="T352" s="10" t="n">
        <v>0.11</v>
      </c>
      <c r="U352" s="10" t="n">
        <v>0.2</v>
      </c>
      <c r="V352" s="10" t="n">
        <v>0.132</v>
      </c>
      <c r="W352" s="10" t="n">
        <v>0.76</v>
      </c>
      <c r="X352" s="10" t="n">
        <v>0.12</v>
      </c>
      <c r="Y352" s="10" t="n">
        <v>0.8512</v>
      </c>
      <c r="Z352" s="10" t="n">
        <v>290.369478528</v>
      </c>
    </row>
    <row r="353" customFormat="false" ht="13.5" hidden="false" customHeight="true" outlineLevel="0" collapsed="false">
      <c r="C353" s="10" t="s">
        <v>35</v>
      </c>
      <c r="D353" s="10" t="s">
        <v>254</v>
      </c>
      <c r="E353" s="10" t="s">
        <v>4</v>
      </c>
      <c r="F353" s="10" t="s">
        <v>1227</v>
      </c>
      <c r="G353" s="10" t="s">
        <v>68</v>
      </c>
      <c r="H353" s="10" t="s">
        <v>166</v>
      </c>
      <c r="I353" s="10" t="s">
        <v>111</v>
      </c>
      <c r="J353" s="10" t="s">
        <v>1103</v>
      </c>
      <c r="P353" s="10" t="s">
        <v>49</v>
      </c>
      <c r="Q353" s="10" t="n">
        <v>2411.8152</v>
      </c>
      <c r="R353" s="10" t="n">
        <v>2411.8152</v>
      </c>
      <c r="T353" s="10" t="n">
        <v>0.1</v>
      </c>
      <c r="U353" s="10" t="n">
        <v>0.2</v>
      </c>
      <c r="V353" s="10" t="n">
        <v>0.12</v>
      </c>
      <c r="W353" s="10" t="n">
        <v>0.74</v>
      </c>
      <c r="X353" s="10" t="n">
        <v>0.12</v>
      </c>
      <c r="Y353" s="10" t="n">
        <v>0.8288</v>
      </c>
      <c r="Z353" s="10" t="n">
        <v>2288.33026176</v>
      </c>
    </row>
    <row r="354" customFormat="false" ht="13.5" hidden="false" customHeight="true" outlineLevel="0" collapsed="false">
      <c r="C354" s="10" t="s">
        <v>35</v>
      </c>
      <c r="D354" s="10" t="s">
        <v>254</v>
      </c>
      <c r="E354" s="10" t="s">
        <v>4</v>
      </c>
      <c r="F354" s="10" t="s">
        <v>1227</v>
      </c>
      <c r="G354" s="10" t="s">
        <v>68</v>
      </c>
      <c r="H354" s="10" t="s">
        <v>166</v>
      </c>
      <c r="I354" s="10" t="s">
        <v>111</v>
      </c>
      <c r="J354" s="10" t="s">
        <v>1104</v>
      </c>
      <c r="P354" s="10" t="s">
        <v>49</v>
      </c>
      <c r="Q354" s="10" t="n">
        <v>1819.6614</v>
      </c>
      <c r="R354" s="10" t="n">
        <v>1819.6614</v>
      </c>
      <c r="T354" s="10" t="n">
        <v>0.09</v>
      </c>
      <c r="U354" s="10" t="n">
        <v>0.2</v>
      </c>
      <c r="V354" s="10" t="n">
        <v>0.108</v>
      </c>
      <c r="W354" s="10" t="n">
        <v>0.73</v>
      </c>
      <c r="X354" s="10" t="n">
        <v>0.12</v>
      </c>
      <c r="Y354" s="10" t="n">
        <v>0.8176</v>
      </c>
      <c r="Z354" s="10" t="n">
        <v>1684.27859184</v>
      </c>
    </row>
    <row r="355" customFormat="false" ht="13.5" hidden="false" customHeight="true" outlineLevel="0" collapsed="false">
      <c r="C355" s="10" t="s">
        <v>35</v>
      </c>
      <c r="D355" s="10" t="s">
        <v>254</v>
      </c>
      <c r="E355" s="10" t="s">
        <v>4</v>
      </c>
      <c r="F355" s="10" t="s">
        <v>1227</v>
      </c>
      <c r="G355" s="10" t="s">
        <v>68</v>
      </c>
      <c r="H355" s="10" t="s">
        <v>166</v>
      </c>
      <c r="I355" s="10" t="s">
        <v>111</v>
      </c>
      <c r="J355" s="10" t="s">
        <v>1105</v>
      </c>
      <c r="P355" s="10" t="s">
        <v>49</v>
      </c>
      <c r="Q355" s="10" t="n">
        <v>7527.2208</v>
      </c>
      <c r="R355" s="10" t="n">
        <v>7527.2208</v>
      </c>
      <c r="T355" s="10" t="n">
        <v>0.08</v>
      </c>
      <c r="U355" s="10" t="n">
        <v>0.2</v>
      </c>
      <c r="V355" s="10" t="n">
        <v>0.096</v>
      </c>
      <c r="W355" s="10" t="n">
        <v>0.72</v>
      </c>
      <c r="X355" s="10" t="n">
        <v>0.12</v>
      </c>
      <c r="Y355" s="10" t="n">
        <v>0.8064</v>
      </c>
      <c r="Z355" s="10" t="n">
        <v>6792.56404992</v>
      </c>
    </row>
    <row r="356" customFormat="false" ht="13.5" hidden="false" customHeight="true" outlineLevel="0" collapsed="false">
      <c r="C356" s="10" t="s">
        <v>35</v>
      </c>
      <c r="D356" s="10" t="s">
        <v>254</v>
      </c>
      <c r="E356" s="10" t="s">
        <v>4</v>
      </c>
      <c r="F356" s="10" t="s">
        <v>1227</v>
      </c>
      <c r="G356" s="10" t="s">
        <v>68</v>
      </c>
      <c r="H356" s="10" t="s">
        <v>166</v>
      </c>
      <c r="I356" s="10" t="s">
        <v>1211</v>
      </c>
      <c r="J356" s="10" t="s">
        <v>1123</v>
      </c>
      <c r="P356" s="10" t="s">
        <v>49</v>
      </c>
      <c r="Q356" s="10" t="n">
        <v>620.0733864</v>
      </c>
      <c r="R356" s="10" t="n">
        <v>620.0733864</v>
      </c>
      <c r="T356" s="10" t="n">
        <v>0.05</v>
      </c>
      <c r="U356" s="10" t="n">
        <v>0.2</v>
      </c>
      <c r="V356" s="10" t="n">
        <v>0.06</v>
      </c>
      <c r="W356" s="10" t="n">
        <v>1.2</v>
      </c>
      <c r="X356" s="10" t="n">
        <v>0.12</v>
      </c>
      <c r="Y356" s="10" t="n">
        <v>1.344</v>
      </c>
      <c r="Z356" s="10" t="n">
        <v>870.5830345056</v>
      </c>
    </row>
    <row r="357" customFormat="false" ht="13.5" hidden="false" customHeight="true" outlineLevel="0" collapsed="false">
      <c r="C357" s="10" t="s">
        <v>35</v>
      </c>
      <c r="D357" s="10" t="s">
        <v>254</v>
      </c>
      <c r="E357" s="10" t="s">
        <v>4</v>
      </c>
      <c r="F357" s="10" t="s">
        <v>1227</v>
      </c>
      <c r="G357" s="10" t="s">
        <v>68</v>
      </c>
      <c r="H357" s="10" t="s">
        <v>170</v>
      </c>
      <c r="I357" s="10" t="s">
        <v>110</v>
      </c>
      <c r="J357" s="10" t="s">
        <v>1109</v>
      </c>
      <c r="P357" s="10" t="s">
        <v>47</v>
      </c>
      <c r="Q357" s="10" t="n">
        <v>87.15</v>
      </c>
      <c r="R357" s="10" t="n">
        <v>87.15</v>
      </c>
      <c r="T357" s="10" t="n">
        <v>10</v>
      </c>
      <c r="U357" s="10" t="n">
        <v>0.2</v>
      </c>
      <c r="V357" s="10" t="n">
        <v>12</v>
      </c>
      <c r="W357" s="10" t="n">
        <v>98</v>
      </c>
      <c r="X357" s="10" t="n">
        <v>0.12</v>
      </c>
      <c r="Y357" s="10" t="n">
        <v>109.76</v>
      </c>
      <c r="Z357" s="10" t="n">
        <v>10611.384</v>
      </c>
    </row>
    <row r="358" customFormat="false" ht="13.5" hidden="false" customHeight="true" outlineLevel="0" collapsed="false">
      <c r="C358" s="10" t="s">
        <v>35</v>
      </c>
      <c r="D358" s="10" t="s">
        <v>254</v>
      </c>
      <c r="E358" s="10" t="s">
        <v>4</v>
      </c>
      <c r="F358" s="10" t="s">
        <v>1227</v>
      </c>
      <c r="G358" s="10" t="s">
        <v>68</v>
      </c>
      <c r="H358" s="10" t="s">
        <v>170</v>
      </c>
      <c r="I358" s="10" t="s">
        <v>153</v>
      </c>
      <c r="J358" s="10" t="s">
        <v>153</v>
      </c>
      <c r="P358" s="10" t="s">
        <v>45</v>
      </c>
      <c r="Q358" s="10" t="n">
        <v>581</v>
      </c>
      <c r="R358" s="10" t="n">
        <v>581</v>
      </c>
      <c r="T358" s="10" t="n">
        <v>6</v>
      </c>
      <c r="U358" s="10" t="n">
        <v>0.2</v>
      </c>
      <c r="V358" s="10" t="n">
        <v>7.2</v>
      </c>
      <c r="W358" s="10" t="n">
        <v>5</v>
      </c>
      <c r="X358" s="10" t="n">
        <v>0.12</v>
      </c>
      <c r="Y358" s="10" t="n">
        <v>5.6</v>
      </c>
      <c r="Z358" s="10" t="n">
        <v>7436.8</v>
      </c>
    </row>
    <row r="359" customFormat="false" ht="13.5" hidden="false" customHeight="true" outlineLevel="0" collapsed="false">
      <c r="C359" s="10" t="s">
        <v>35</v>
      </c>
      <c r="D359" s="10" t="s">
        <v>254</v>
      </c>
      <c r="E359" s="10" t="s">
        <v>4</v>
      </c>
      <c r="F359" s="10" t="s">
        <v>1227</v>
      </c>
      <c r="G359" s="10" t="s">
        <v>68</v>
      </c>
      <c r="H359" s="10" t="s">
        <v>170</v>
      </c>
      <c r="I359" s="10" t="s">
        <v>111</v>
      </c>
      <c r="J359" s="10" t="s">
        <v>1100</v>
      </c>
      <c r="P359" s="10" t="s">
        <v>49</v>
      </c>
      <c r="Q359" s="10" t="n">
        <v>11514.5</v>
      </c>
      <c r="R359" s="10" t="n">
        <v>11514.5</v>
      </c>
      <c r="T359" s="10" t="n">
        <v>0.12</v>
      </c>
      <c r="U359" s="10" t="n">
        <v>0.2</v>
      </c>
      <c r="V359" s="10" t="n">
        <v>0.144</v>
      </c>
      <c r="W359" s="10" t="n">
        <v>0.78</v>
      </c>
      <c r="X359" s="10" t="n">
        <v>0.12</v>
      </c>
      <c r="Y359" s="10" t="n">
        <v>0.8736</v>
      </c>
      <c r="Z359" s="10" t="n">
        <v>11717.1552</v>
      </c>
    </row>
    <row r="360" customFormat="false" ht="13.5" hidden="false" customHeight="true" outlineLevel="0" collapsed="false">
      <c r="C360" s="10" t="s">
        <v>35</v>
      </c>
      <c r="D360" s="10" t="s">
        <v>254</v>
      </c>
      <c r="E360" s="10" t="s">
        <v>4</v>
      </c>
      <c r="F360" s="10" t="s">
        <v>1227</v>
      </c>
      <c r="G360" s="10" t="s">
        <v>68</v>
      </c>
      <c r="H360" s="10" t="s">
        <v>170</v>
      </c>
      <c r="I360" s="10" t="s">
        <v>111</v>
      </c>
      <c r="J360" s="10" t="s">
        <v>1101</v>
      </c>
      <c r="P360" s="10" t="s">
        <v>49</v>
      </c>
      <c r="Q360" s="10" t="n">
        <v>166.5</v>
      </c>
      <c r="R360" s="10" t="n">
        <v>166.5</v>
      </c>
      <c r="T360" s="10" t="n">
        <v>0.11</v>
      </c>
      <c r="U360" s="10" t="n">
        <v>0.2</v>
      </c>
      <c r="V360" s="10" t="n">
        <v>0.132</v>
      </c>
      <c r="W360" s="10" t="n">
        <v>0.76</v>
      </c>
      <c r="X360" s="10" t="n">
        <v>0.12</v>
      </c>
      <c r="Y360" s="10" t="n">
        <v>0.8512</v>
      </c>
      <c r="Z360" s="10" t="n">
        <v>163.7028</v>
      </c>
    </row>
    <row r="361" customFormat="false" ht="13.5" hidden="false" customHeight="true" outlineLevel="0" collapsed="false">
      <c r="C361" s="10" t="s">
        <v>35</v>
      </c>
      <c r="D361" s="10" t="s">
        <v>254</v>
      </c>
      <c r="E361" s="10" t="s">
        <v>4</v>
      </c>
      <c r="F361" s="10" t="s">
        <v>1227</v>
      </c>
      <c r="G361" s="10" t="s">
        <v>68</v>
      </c>
      <c r="H361" s="10" t="s">
        <v>170</v>
      </c>
      <c r="I361" s="10" t="s">
        <v>1211</v>
      </c>
      <c r="J361" s="10" t="s">
        <v>1123</v>
      </c>
      <c r="P361" s="10" t="s">
        <v>49</v>
      </c>
      <c r="Q361" s="10" t="n">
        <v>467.24</v>
      </c>
      <c r="R361" s="10" t="n">
        <v>467.24</v>
      </c>
      <c r="T361" s="10" t="n">
        <v>0.05</v>
      </c>
      <c r="U361" s="10" t="n">
        <v>0.2</v>
      </c>
      <c r="V361" s="10" t="n">
        <v>0.06</v>
      </c>
      <c r="W361" s="10" t="n">
        <v>1.2</v>
      </c>
      <c r="X361" s="10" t="n">
        <v>0.12</v>
      </c>
      <c r="Y361" s="10" t="n">
        <v>1.344</v>
      </c>
      <c r="Z361" s="10" t="n">
        <v>656.00496</v>
      </c>
    </row>
    <row r="362" customFormat="false" ht="13.5" hidden="false" customHeight="true" outlineLevel="0" collapsed="false">
      <c r="C362" s="10" t="s">
        <v>35</v>
      </c>
      <c r="D362" s="10" t="s">
        <v>254</v>
      </c>
      <c r="E362" s="10" t="s">
        <v>4</v>
      </c>
      <c r="F362" s="10" t="s">
        <v>1227</v>
      </c>
      <c r="G362" s="10" t="s">
        <v>68</v>
      </c>
      <c r="H362" s="10" t="s">
        <v>1218</v>
      </c>
      <c r="I362" s="10" t="s">
        <v>110</v>
      </c>
      <c r="J362" s="10" t="s">
        <v>1109</v>
      </c>
      <c r="P362" s="10" t="s">
        <v>47</v>
      </c>
      <c r="Q362" s="10" t="n">
        <v>23.43</v>
      </c>
      <c r="R362" s="10" t="n">
        <v>23.43</v>
      </c>
      <c r="T362" s="10" t="n">
        <v>10</v>
      </c>
      <c r="U362" s="10" t="n">
        <v>0.2</v>
      </c>
      <c r="V362" s="10" t="n">
        <v>12</v>
      </c>
      <c r="W362" s="10" t="n">
        <v>98</v>
      </c>
      <c r="X362" s="10" t="n">
        <v>0.12</v>
      </c>
      <c r="Y362" s="10" t="n">
        <v>109.76</v>
      </c>
      <c r="Z362" s="10" t="n">
        <v>2852.8368</v>
      </c>
    </row>
    <row r="363" customFormat="false" ht="13.5" hidden="false" customHeight="true" outlineLevel="0" collapsed="false">
      <c r="C363" s="10" t="s">
        <v>35</v>
      </c>
      <c r="D363" s="10" t="s">
        <v>254</v>
      </c>
      <c r="E363" s="10" t="s">
        <v>4</v>
      </c>
      <c r="F363" s="10" t="s">
        <v>1227</v>
      </c>
      <c r="G363" s="10" t="s">
        <v>68</v>
      </c>
      <c r="H363" s="10" t="s">
        <v>1218</v>
      </c>
      <c r="I363" s="10" t="s">
        <v>153</v>
      </c>
      <c r="J363" s="10" t="s">
        <v>153</v>
      </c>
      <c r="P363" s="10" t="s">
        <v>45</v>
      </c>
      <c r="Q363" s="10" t="n">
        <v>139.7</v>
      </c>
      <c r="R363" s="10" t="n">
        <v>139.7</v>
      </c>
      <c r="T363" s="10" t="n">
        <v>6</v>
      </c>
      <c r="U363" s="10" t="n">
        <v>0.2</v>
      </c>
      <c r="V363" s="10" t="n">
        <v>7.2</v>
      </c>
      <c r="W363" s="10" t="n">
        <v>5</v>
      </c>
      <c r="X363" s="10" t="n">
        <v>0.12</v>
      </c>
      <c r="Y363" s="10" t="n">
        <v>5.6</v>
      </c>
      <c r="Z363" s="10" t="n">
        <v>1788.16</v>
      </c>
    </row>
    <row r="364" customFormat="false" ht="13.5" hidden="false" customHeight="true" outlineLevel="0" collapsed="false">
      <c r="C364" s="10" t="s">
        <v>35</v>
      </c>
      <c r="D364" s="10" t="s">
        <v>254</v>
      </c>
      <c r="E364" s="10" t="s">
        <v>4</v>
      </c>
      <c r="F364" s="10" t="s">
        <v>1227</v>
      </c>
      <c r="G364" s="10" t="s">
        <v>68</v>
      </c>
      <c r="H364" s="10" t="s">
        <v>1218</v>
      </c>
      <c r="I364" s="10" t="s">
        <v>111</v>
      </c>
      <c r="J364" s="10" t="s">
        <v>1100</v>
      </c>
      <c r="P364" s="10" t="s">
        <v>49</v>
      </c>
      <c r="Q364" s="10" t="n">
        <v>241.864</v>
      </c>
      <c r="R364" s="10" t="n">
        <v>241.864</v>
      </c>
      <c r="T364" s="10" t="n">
        <v>0.12</v>
      </c>
      <c r="U364" s="10" t="n">
        <v>0.2</v>
      </c>
      <c r="V364" s="10" t="n">
        <v>0.144</v>
      </c>
      <c r="W364" s="10" t="n">
        <v>0.78</v>
      </c>
      <c r="X364" s="10" t="n">
        <v>0.12</v>
      </c>
      <c r="Y364" s="10" t="n">
        <v>0.8736</v>
      </c>
      <c r="Z364" s="10" t="n">
        <v>246.1208064</v>
      </c>
    </row>
    <row r="365" customFormat="false" ht="13.5" hidden="false" customHeight="true" outlineLevel="0" collapsed="false">
      <c r="C365" s="10" t="s">
        <v>35</v>
      </c>
      <c r="D365" s="10" t="s">
        <v>254</v>
      </c>
      <c r="E365" s="10" t="s">
        <v>4</v>
      </c>
      <c r="F365" s="10" t="s">
        <v>1227</v>
      </c>
      <c r="G365" s="10" t="s">
        <v>68</v>
      </c>
      <c r="H365" s="10" t="s">
        <v>1218</v>
      </c>
      <c r="I365" s="10" t="s">
        <v>111</v>
      </c>
      <c r="J365" s="10" t="s">
        <v>1101</v>
      </c>
      <c r="P365" s="10" t="s">
        <v>49</v>
      </c>
      <c r="Q365" s="10" t="n">
        <v>1071.6384</v>
      </c>
      <c r="R365" s="10" t="n">
        <v>1071.6384</v>
      </c>
      <c r="T365" s="10" t="n">
        <v>0.11</v>
      </c>
      <c r="U365" s="10" t="n">
        <v>0.2</v>
      </c>
      <c r="V365" s="10" t="n">
        <v>0.132</v>
      </c>
      <c r="W365" s="10" t="n">
        <v>0.76</v>
      </c>
      <c r="X365" s="10" t="n">
        <v>0.12</v>
      </c>
      <c r="Y365" s="10" t="n">
        <v>0.8512</v>
      </c>
      <c r="Z365" s="10" t="n">
        <v>1053.63487488</v>
      </c>
    </row>
    <row r="366" customFormat="false" ht="13.5" hidden="false" customHeight="true" outlineLevel="0" collapsed="false">
      <c r="C366" s="10" t="s">
        <v>35</v>
      </c>
      <c r="D366" s="10" t="s">
        <v>254</v>
      </c>
      <c r="E366" s="10" t="s">
        <v>4</v>
      </c>
      <c r="F366" s="10" t="s">
        <v>1227</v>
      </c>
      <c r="G366" s="10" t="s">
        <v>68</v>
      </c>
      <c r="H366" s="10" t="s">
        <v>1218</v>
      </c>
      <c r="I366" s="10" t="s">
        <v>111</v>
      </c>
      <c r="J366" s="10" t="s">
        <v>1102</v>
      </c>
      <c r="P366" s="10" t="s">
        <v>49</v>
      </c>
      <c r="Q366" s="10" t="n">
        <v>1122.4736</v>
      </c>
      <c r="R366" s="10" t="n">
        <v>1122.4736</v>
      </c>
      <c r="T366" s="10" t="n">
        <v>0.1</v>
      </c>
      <c r="U366" s="10" t="n">
        <v>0.2</v>
      </c>
      <c r="V366" s="10" t="n">
        <v>0.12</v>
      </c>
      <c r="W366" s="10" t="n">
        <v>0.75</v>
      </c>
      <c r="X366" s="10" t="n">
        <v>0.12</v>
      </c>
      <c r="Y366" s="10" t="n">
        <v>0.84</v>
      </c>
      <c r="Z366" s="10" t="n">
        <v>1077.574656</v>
      </c>
    </row>
    <row r="367" customFormat="false" ht="13.5" hidden="false" customHeight="true" outlineLevel="0" collapsed="false">
      <c r="C367" s="10" t="s">
        <v>35</v>
      </c>
      <c r="D367" s="10" t="s">
        <v>254</v>
      </c>
      <c r="E367" s="10" t="s">
        <v>4</v>
      </c>
      <c r="F367" s="10" t="s">
        <v>1227</v>
      </c>
      <c r="G367" s="10" t="s">
        <v>68</v>
      </c>
      <c r="H367" s="10" t="s">
        <v>1218</v>
      </c>
      <c r="I367" s="10" t="s">
        <v>111</v>
      </c>
      <c r="J367" s="10" t="s">
        <v>1104</v>
      </c>
      <c r="P367" s="10" t="s">
        <v>49</v>
      </c>
      <c r="Q367" s="10" t="n">
        <v>822.016</v>
      </c>
      <c r="R367" s="10" t="n">
        <v>822.016</v>
      </c>
      <c r="T367" s="10" t="n">
        <v>0.09</v>
      </c>
      <c r="U367" s="10" t="n">
        <v>0.2</v>
      </c>
      <c r="V367" s="10" t="n">
        <v>0.108</v>
      </c>
      <c r="W367" s="10" t="n">
        <v>0.73</v>
      </c>
      <c r="X367" s="10" t="n">
        <v>0.12</v>
      </c>
      <c r="Y367" s="10" t="n">
        <v>0.8176</v>
      </c>
      <c r="Z367" s="10" t="n">
        <v>760.8580096</v>
      </c>
    </row>
    <row r="368" customFormat="false" ht="13.5" hidden="false" customHeight="true" outlineLevel="0" collapsed="false">
      <c r="C368" s="10" t="s">
        <v>35</v>
      </c>
      <c r="D368" s="10" t="s">
        <v>254</v>
      </c>
      <c r="E368" s="10" t="s">
        <v>4</v>
      </c>
      <c r="F368" s="10" t="s">
        <v>1227</v>
      </c>
      <c r="G368" s="10" t="s">
        <v>68</v>
      </c>
      <c r="H368" s="10" t="s">
        <v>1218</v>
      </c>
      <c r="I368" s="10" t="s">
        <v>1211</v>
      </c>
      <c r="J368" s="10" t="s">
        <v>1123</v>
      </c>
      <c r="P368" s="10" t="s">
        <v>49</v>
      </c>
      <c r="Q368" s="10" t="n">
        <v>130.31968</v>
      </c>
      <c r="R368" s="10" t="n">
        <v>130.31968</v>
      </c>
      <c r="T368" s="10" t="n">
        <v>0.05</v>
      </c>
      <c r="U368" s="10" t="n">
        <v>0.2</v>
      </c>
      <c r="V368" s="10" t="n">
        <v>0.06</v>
      </c>
      <c r="W368" s="10" t="n">
        <v>1.2</v>
      </c>
      <c r="X368" s="10" t="n">
        <v>0.12</v>
      </c>
      <c r="Y368" s="10" t="n">
        <v>1.344</v>
      </c>
      <c r="Z368" s="10" t="n">
        <v>182.96883072</v>
      </c>
    </row>
    <row r="369" customFormat="false" ht="13.5" hidden="false" customHeight="true" outlineLevel="0" collapsed="false">
      <c r="C369" s="10" t="s">
        <v>35</v>
      </c>
      <c r="D369" s="10" t="s">
        <v>254</v>
      </c>
      <c r="E369" s="10" t="s">
        <v>4</v>
      </c>
      <c r="F369" s="10" t="s">
        <v>1227</v>
      </c>
      <c r="G369" s="10" t="s">
        <v>68</v>
      </c>
      <c r="H369" s="10" t="s">
        <v>180</v>
      </c>
      <c r="I369" s="10" t="s">
        <v>110</v>
      </c>
      <c r="J369" s="10" t="s">
        <v>1109</v>
      </c>
      <c r="P369" s="10" t="s">
        <v>47</v>
      </c>
      <c r="Q369" s="10" t="n">
        <v>5.016</v>
      </c>
      <c r="R369" s="10" t="n">
        <v>5.016</v>
      </c>
      <c r="T369" s="10" t="n">
        <v>10</v>
      </c>
      <c r="U369" s="10" t="n">
        <v>0.2</v>
      </c>
      <c r="V369" s="10" t="n">
        <v>12</v>
      </c>
      <c r="W369" s="10" t="n">
        <v>98</v>
      </c>
      <c r="X369" s="10" t="n">
        <v>0.12</v>
      </c>
      <c r="Y369" s="10" t="n">
        <v>109.76</v>
      </c>
      <c r="Z369" s="10" t="n">
        <v>610.74816</v>
      </c>
    </row>
    <row r="370" customFormat="false" ht="13.5" hidden="false" customHeight="true" outlineLevel="0" collapsed="false">
      <c r="C370" s="10" t="s">
        <v>35</v>
      </c>
      <c r="D370" s="10" t="s">
        <v>254</v>
      </c>
      <c r="E370" s="10" t="s">
        <v>4</v>
      </c>
      <c r="F370" s="10" t="s">
        <v>1227</v>
      </c>
      <c r="G370" s="10" t="s">
        <v>68</v>
      </c>
      <c r="H370" s="10" t="s">
        <v>180</v>
      </c>
      <c r="I370" s="10" t="s">
        <v>153</v>
      </c>
      <c r="J370" s="10" t="s">
        <v>153</v>
      </c>
      <c r="P370" s="10" t="s">
        <v>45</v>
      </c>
      <c r="Q370" s="10" t="n">
        <v>75.24</v>
      </c>
      <c r="R370" s="10" t="n">
        <v>75.24</v>
      </c>
      <c r="T370" s="10" t="n">
        <v>6</v>
      </c>
      <c r="U370" s="10" t="n">
        <v>0.2</v>
      </c>
      <c r="V370" s="10" t="n">
        <v>7.2</v>
      </c>
      <c r="W370" s="10" t="n">
        <v>5</v>
      </c>
      <c r="X370" s="10" t="n">
        <v>0.12</v>
      </c>
      <c r="Y370" s="10" t="n">
        <v>5.6</v>
      </c>
      <c r="Z370" s="10" t="n">
        <v>963.072</v>
      </c>
    </row>
    <row r="371" customFormat="false" ht="13.5" hidden="false" customHeight="true" outlineLevel="0" collapsed="false">
      <c r="C371" s="10" t="s">
        <v>35</v>
      </c>
      <c r="D371" s="10" t="s">
        <v>254</v>
      </c>
      <c r="E371" s="10" t="s">
        <v>4</v>
      </c>
      <c r="F371" s="10" t="s">
        <v>1227</v>
      </c>
      <c r="G371" s="10" t="s">
        <v>68</v>
      </c>
      <c r="H371" s="10" t="s">
        <v>180</v>
      </c>
      <c r="I371" s="10" t="s">
        <v>111</v>
      </c>
      <c r="J371" s="10" t="s">
        <v>1117</v>
      </c>
      <c r="P371" s="10" t="s">
        <v>49</v>
      </c>
      <c r="Q371" s="10" t="n">
        <v>50.16</v>
      </c>
      <c r="R371" s="10" t="n">
        <v>50.16</v>
      </c>
      <c r="T371" s="10" t="n">
        <v>0.12</v>
      </c>
      <c r="U371" s="10" t="n">
        <v>0.2</v>
      </c>
      <c r="V371" s="10" t="n">
        <v>0.144</v>
      </c>
      <c r="W371" s="10" t="n">
        <v>0.77</v>
      </c>
      <c r="X371" s="10" t="n">
        <v>0.12</v>
      </c>
      <c r="Y371" s="10" t="n">
        <v>0.8624</v>
      </c>
      <c r="Z371" s="10" t="n">
        <v>50.481024</v>
      </c>
    </row>
    <row r="372" customFormat="false" ht="13.5" hidden="false" customHeight="true" outlineLevel="0" collapsed="false">
      <c r="C372" s="10" t="s">
        <v>35</v>
      </c>
      <c r="D372" s="10" t="s">
        <v>254</v>
      </c>
      <c r="E372" s="10" t="s">
        <v>4</v>
      </c>
      <c r="F372" s="10" t="s">
        <v>1227</v>
      </c>
      <c r="G372" s="10" t="s">
        <v>68</v>
      </c>
      <c r="H372" s="10" t="s">
        <v>180</v>
      </c>
      <c r="I372" s="10" t="s">
        <v>111</v>
      </c>
      <c r="J372" s="10" t="s">
        <v>1101</v>
      </c>
      <c r="P372" s="10" t="s">
        <v>49</v>
      </c>
      <c r="Q372" s="10" t="n">
        <v>601.92</v>
      </c>
      <c r="R372" s="10" t="n">
        <v>601.92</v>
      </c>
      <c r="T372" s="10" t="n">
        <v>0.11</v>
      </c>
      <c r="U372" s="10" t="n">
        <v>0.2</v>
      </c>
      <c r="V372" s="10" t="n">
        <v>0.132</v>
      </c>
      <c r="W372" s="10" t="n">
        <v>0.76</v>
      </c>
      <c r="X372" s="10" t="n">
        <v>0.12</v>
      </c>
      <c r="Y372" s="10" t="n">
        <v>0.8512</v>
      </c>
      <c r="Z372" s="10" t="n">
        <v>591.807744</v>
      </c>
    </row>
    <row r="373" customFormat="false" ht="13.5" hidden="false" customHeight="true" outlineLevel="0" collapsed="false">
      <c r="C373" s="10" t="s">
        <v>35</v>
      </c>
      <c r="D373" s="10" t="s">
        <v>254</v>
      </c>
      <c r="E373" s="10" t="s">
        <v>4</v>
      </c>
      <c r="F373" s="10" t="s">
        <v>1227</v>
      </c>
      <c r="G373" s="10" t="s">
        <v>68</v>
      </c>
      <c r="H373" s="10" t="s">
        <v>180</v>
      </c>
      <c r="I373" s="10" t="s">
        <v>111</v>
      </c>
      <c r="J373" s="10" t="s">
        <v>1103</v>
      </c>
      <c r="P373" s="10" t="s">
        <v>49</v>
      </c>
      <c r="Q373" s="10" t="n">
        <v>125.4</v>
      </c>
      <c r="R373" s="10" t="n">
        <v>125.4</v>
      </c>
      <c r="T373" s="10" t="n">
        <v>0.1</v>
      </c>
      <c r="U373" s="10" t="n">
        <v>0.2</v>
      </c>
      <c r="V373" s="10" t="n">
        <v>0.12</v>
      </c>
      <c r="W373" s="10" t="n">
        <v>0.74</v>
      </c>
      <c r="X373" s="10" t="n">
        <v>0.12</v>
      </c>
      <c r="Y373" s="10" t="n">
        <v>0.8288</v>
      </c>
      <c r="Z373" s="10" t="n">
        <v>118.97952</v>
      </c>
    </row>
    <row r="374" customFormat="false" ht="13.5" hidden="false" customHeight="true" outlineLevel="0" collapsed="false">
      <c r="C374" s="10" t="s">
        <v>35</v>
      </c>
      <c r="D374" s="10" t="s">
        <v>254</v>
      </c>
      <c r="E374" s="10" t="s">
        <v>4</v>
      </c>
      <c r="F374" s="10" t="s">
        <v>1227</v>
      </c>
      <c r="G374" s="10" t="s">
        <v>68</v>
      </c>
      <c r="H374" s="10" t="s">
        <v>180</v>
      </c>
      <c r="I374" s="10" t="s">
        <v>1211</v>
      </c>
      <c r="J374" s="10" t="s">
        <v>1123</v>
      </c>
      <c r="P374" s="10" t="s">
        <v>49</v>
      </c>
      <c r="Q374" s="10" t="n">
        <v>31.0992</v>
      </c>
      <c r="R374" s="10" t="n">
        <v>31.0992</v>
      </c>
      <c r="T374" s="10" t="n">
        <v>0.05</v>
      </c>
      <c r="U374" s="10" t="n">
        <v>0.2</v>
      </c>
      <c r="V374" s="10" t="n">
        <v>0.06</v>
      </c>
      <c r="W374" s="10" t="n">
        <v>1.2</v>
      </c>
      <c r="X374" s="10" t="n">
        <v>0.12</v>
      </c>
      <c r="Y374" s="10" t="n">
        <v>1.344</v>
      </c>
      <c r="Z374" s="10" t="n">
        <v>43.6632768</v>
      </c>
    </row>
    <row r="375" customFormat="false" ht="13.5" hidden="false" customHeight="true" outlineLevel="0" collapsed="false">
      <c r="C375" s="10" t="s">
        <v>35</v>
      </c>
      <c r="D375" s="10" t="s">
        <v>254</v>
      </c>
      <c r="E375" s="10" t="s">
        <v>4</v>
      </c>
      <c r="F375" s="10" t="s">
        <v>1227</v>
      </c>
      <c r="G375" s="10" t="s">
        <v>68</v>
      </c>
      <c r="H375" s="10" t="s">
        <v>175</v>
      </c>
      <c r="I375" s="10" t="s">
        <v>110</v>
      </c>
      <c r="J375" s="10" t="s">
        <v>1109</v>
      </c>
      <c r="P375" s="10" t="s">
        <v>47</v>
      </c>
      <c r="Q375" s="10" t="n">
        <v>38.304</v>
      </c>
      <c r="R375" s="10" t="n">
        <v>38.304</v>
      </c>
      <c r="T375" s="10" t="n">
        <v>10</v>
      </c>
      <c r="U375" s="10" t="n">
        <v>0.2</v>
      </c>
      <c r="V375" s="10" t="n">
        <v>12</v>
      </c>
      <c r="W375" s="10" t="n">
        <v>98</v>
      </c>
      <c r="X375" s="10" t="n">
        <v>0.12</v>
      </c>
      <c r="Y375" s="10" t="n">
        <v>109.76</v>
      </c>
      <c r="Z375" s="10" t="n">
        <v>4663.89504</v>
      </c>
    </row>
    <row r="376" customFormat="false" ht="13.5" hidden="false" customHeight="true" outlineLevel="0" collapsed="false">
      <c r="C376" s="10" t="s">
        <v>35</v>
      </c>
      <c r="D376" s="10" t="s">
        <v>254</v>
      </c>
      <c r="E376" s="10" t="s">
        <v>4</v>
      </c>
      <c r="F376" s="10" t="s">
        <v>1227</v>
      </c>
      <c r="G376" s="10" t="s">
        <v>68</v>
      </c>
      <c r="H376" s="10" t="s">
        <v>175</v>
      </c>
      <c r="I376" s="10" t="s">
        <v>153</v>
      </c>
      <c r="J376" s="10" t="s">
        <v>153</v>
      </c>
      <c r="P376" s="10" t="s">
        <v>45</v>
      </c>
      <c r="Q376" s="10" t="n">
        <v>203.28</v>
      </c>
      <c r="R376" s="10" t="n">
        <v>203.28</v>
      </c>
      <c r="T376" s="10" t="n">
        <v>6</v>
      </c>
      <c r="U376" s="10" t="n">
        <v>0.2</v>
      </c>
      <c r="V376" s="10" t="n">
        <v>7.2</v>
      </c>
      <c r="W376" s="10" t="n">
        <v>5</v>
      </c>
      <c r="X376" s="10" t="n">
        <v>0.12</v>
      </c>
      <c r="Y376" s="10" t="n">
        <v>5.6</v>
      </c>
      <c r="Z376" s="10" t="n">
        <v>2601.984</v>
      </c>
    </row>
    <row r="377" customFormat="false" ht="13.5" hidden="false" customHeight="true" outlineLevel="0" collapsed="false">
      <c r="C377" s="10" t="s">
        <v>35</v>
      </c>
      <c r="D377" s="10" t="s">
        <v>254</v>
      </c>
      <c r="E377" s="10" t="s">
        <v>4</v>
      </c>
      <c r="F377" s="10" t="s">
        <v>1227</v>
      </c>
      <c r="G377" s="10" t="s">
        <v>68</v>
      </c>
      <c r="H377" s="10" t="s">
        <v>175</v>
      </c>
      <c r="I377" s="10" t="s">
        <v>111</v>
      </c>
      <c r="J377" s="10" t="s">
        <v>1100</v>
      </c>
      <c r="P377" s="10" t="s">
        <v>49</v>
      </c>
      <c r="Q377" s="10" t="n">
        <v>1889.9944</v>
      </c>
      <c r="R377" s="10" t="n">
        <v>1889.9944</v>
      </c>
      <c r="T377" s="10" t="n">
        <v>0.12</v>
      </c>
      <c r="U377" s="10" t="n">
        <v>0.2</v>
      </c>
      <c r="V377" s="10" t="n">
        <v>0.144</v>
      </c>
      <c r="W377" s="10" t="n">
        <v>0.78</v>
      </c>
      <c r="X377" s="10" t="n">
        <v>0.12</v>
      </c>
      <c r="Y377" s="10" t="n">
        <v>0.8736</v>
      </c>
      <c r="Z377" s="10" t="n">
        <v>1923.25830144</v>
      </c>
    </row>
    <row r="378" customFormat="false" ht="13.5" hidden="false" customHeight="true" outlineLevel="0" collapsed="false">
      <c r="C378" s="10" t="s">
        <v>35</v>
      </c>
      <c r="D378" s="10" t="s">
        <v>254</v>
      </c>
      <c r="E378" s="10" t="s">
        <v>4</v>
      </c>
      <c r="F378" s="10" t="s">
        <v>1227</v>
      </c>
      <c r="G378" s="10" t="s">
        <v>68</v>
      </c>
      <c r="H378" s="10" t="s">
        <v>175</v>
      </c>
      <c r="I378" s="10" t="s">
        <v>111</v>
      </c>
      <c r="J378" s="10" t="s">
        <v>1104</v>
      </c>
      <c r="P378" s="10" t="s">
        <v>49</v>
      </c>
      <c r="Q378" s="10" t="n">
        <v>4821.5232</v>
      </c>
      <c r="R378" s="10" t="n">
        <v>4821.5232</v>
      </c>
      <c r="T378" s="10" t="n">
        <v>0.09</v>
      </c>
      <c r="U378" s="10" t="n">
        <v>0.2</v>
      </c>
      <c r="V378" s="10" t="n">
        <v>0.108</v>
      </c>
      <c r="W378" s="10" t="n">
        <v>0.73</v>
      </c>
      <c r="X378" s="10" t="n">
        <v>0.12</v>
      </c>
      <c r="Y378" s="10" t="n">
        <v>0.8176</v>
      </c>
      <c r="Z378" s="10" t="n">
        <v>4462.80187392</v>
      </c>
    </row>
    <row r="379" customFormat="false" ht="13.5" hidden="false" customHeight="true" outlineLevel="0" collapsed="false">
      <c r="C379" s="10" t="s">
        <v>35</v>
      </c>
      <c r="D379" s="10" t="s">
        <v>254</v>
      </c>
      <c r="E379" s="10" t="s">
        <v>4</v>
      </c>
      <c r="F379" s="10" t="s">
        <v>1227</v>
      </c>
      <c r="G379" s="10" t="s">
        <v>68</v>
      </c>
      <c r="H379" s="10" t="s">
        <v>175</v>
      </c>
      <c r="I379" s="10" t="s">
        <v>1211</v>
      </c>
      <c r="J379" s="10" t="s">
        <v>1123</v>
      </c>
      <c r="P379" s="10" t="s">
        <v>49</v>
      </c>
      <c r="Q379" s="10" t="n">
        <v>268.460704</v>
      </c>
      <c r="R379" s="10" t="n">
        <v>268.460704</v>
      </c>
      <c r="T379" s="10" t="n">
        <v>0.05</v>
      </c>
      <c r="U379" s="10" t="n">
        <v>0.2</v>
      </c>
      <c r="V379" s="10" t="n">
        <v>0.06</v>
      </c>
      <c r="W379" s="10" t="n">
        <v>1.2</v>
      </c>
      <c r="X379" s="10" t="n">
        <v>0.12</v>
      </c>
      <c r="Y379" s="10" t="n">
        <v>1.344</v>
      </c>
      <c r="Z379" s="10" t="n">
        <v>376.918828416</v>
      </c>
    </row>
    <row r="380" customFormat="false" ht="13.5" hidden="false" customHeight="true" outlineLevel="0" collapsed="false">
      <c r="C380" s="10" t="s">
        <v>35</v>
      </c>
      <c r="D380" s="10" t="s">
        <v>254</v>
      </c>
      <c r="E380" s="10" t="s">
        <v>4</v>
      </c>
      <c r="F380" s="10" t="s">
        <v>1228</v>
      </c>
      <c r="G380" s="10" t="s">
        <v>68</v>
      </c>
      <c r="H380" s="10" t="s">
        <v>166</v>
      </c>
      <c r="I380" s="10" t="s">
        <v>110</v>
      </c>
      <c r="J380" s="10" t="s">
        <v>1109</v>
      </c>
      <c r="P380" s="10" t="s">
        <v>47</v>
      </c>
      <c r="Q380" s="10" t="n">
        <v>46.74115</v>
      </c>
      <c r="R380" s="10" t="n">
        <v>46.74115</v>
      </c>
      <c r="T380" s="10" t="n">
        <v>10</v>
      </c>
      <c r="U380" s="10" t="n">
        <v>0.2</v>
      </c>
      <c r="V380" s="10" t="n">
        <v>12</v>
      </c>
      <c r="W380" s="10" t="n">
        <v>98</v>
      </c>
      <c r="X380" s="10" t="n">
        <v>0.12</v>
      </c>
      <c r="Y380" s="10" t="n">
        <v>109.76</v>
      </c>
      <c r="Z380" s="10" t="n">
        <v>5691.202424</v>
      </c>
    </row>
    <row r="381" customFormat="false" ht="13.5" hidden="false" customHeight="true" outlineLevel="0" collapsed="false">
      <c r="C381" s="10" t="s">
        <v>35</v>
      </c>
      <c r="D381" s="10" t="s">
        <v>254</v>
      </c>
      <c r="E381" s="10" t="s">
        <v>4</v>
      </c>
      <c r="F381" s="10" t="s">
        <v>1228</v>
      </c>
      <c r="G381" s="10" t="s">
        <v>68</v>
      </c>
      <c r="H381" s="10" t="s">
        <v>166</v>
      </c>
      <c r="I381" s="10" t="s">
        <v>153</v>
      </c>
      <c r="J381" s="10" t="s">
        <v>153</v>
      </c>
      <c r="P381" s="10" t="s">
        <v>45</v>
      </c>
      <c r="Q381" s="10" t="n">
        <v>446.526</v>
      </c>
      <c r="R381" s="10" t="n">
        <v>446.526</v>
      </c>
      <c r="T381" s="10" t="n">
        <v>6</v>
      </c>
      <c r="U381" s="10" t="n">
        <v>0.2</v>
      </c>
      <c r="V381" s="10" t="n">
        <v>7.2</v>
      </c>
      <c r="W381" s="10" t="n">
        <v>5</v>
      </c>
      <c r="X381" s="10" t="n">
        <v>0.12</v>
      </c>
      <c r="Y381" s="10" t="n">
        <v>5.6</v>
      </c>
      <c r="Z381" s="10" t="n">
        <v>5715.5328</v>
      </c>
    </row>
    <row r="382" customFormat="false" ht="13.5" hidden="false" customHeight="true" outlineLevel="0" collapsed="false">
      <c r="C382" s="10" t="s">
        <v>35</v>
      </c>
      <c r="D382" s="10" t="s">
        <v>254</v>
      </c>
      <c r="E382" s="10" t="s">
        <v>4</v>
      </c>
      <c r="F382" s="10" t="s">
        <v>1228</v>
      </c>
      <c r="G382" s="10" t="s">
        <v>68</v>
      </c>
      <c r="H382" s="10" t="s">
        <v>166</v>
      </c>
      <c r="I382" s="10" t="s">
        <v>111</v>
      </c>
      <c r="J382" s="10" t="s">
        <v>1117</v>
      </c>
      <c r="P382" s="10" t="s">
        <v>49</v>
      </c>
      <c r="Q382" s="10" t="n">
        <v>624.1948</v>
      </c>
      <c r="R382" s="10" t="n">
        <v>624.1948</v>
      </c>
      <c r="T382" s="10" t="n">
        <v>0.12</v>
      </c>
      <c r="U382" s="10" t="n">
        <v>0.2</v>
      </c>
      <c r="V382" s="10" t="n">
        <v>0.144</v>
      </c>
      <c r="W382" s="10" t="n">
        <v>0.77</v>
      </c>
      <c r="X382" s="10" t="n">
        <v>0.12</v>
      </c>
      <c r="Y382" s="10" t="n">
        <v>0.8624</v>
      </c>
      <c r="Z382" s="10" t="n">
        <v>628.18964672</v>
      </c>
    </row>
    <row r="383" customFormat="false" ht="13.5" hidden="false" customHeight="true" outlineLevel="0" collapsed="false">
      <c r="C383" s="10" t="s">
        <v>35</v>
      </c>
      <c r="D383" s="10" t="s">
        <v>254</v>
      </c>
      <c r="E383" s="10" t="s">
        <v>4</v>
      </c>
      <c r="F383" s="10" t="s">
        <v>1228</v>
      </c>
      <c r="G383" s="10" t="s">
        <v>68</v>
      </c>
      <c r="H383" s="10" t="s">
        <v>166</v>
      </c>
      <c r="I383" s="10" t="s">
        <v>111</v>
      </c>
      <c r="J383" s="10" t="s">
        <v>1100</v>
      </c>
      <c r="P383" s="10" t="s">
        <v>49</v>
      </c>
      <c r="Q383" s="10" t="n">
        <v>2823.61142</v>
      </c>
      <c r="R383" s="10" t="n">
        <v>2823.61142</v>
      </c>
      <c r="T383" s="10" t="n">
        <v>0.12</v>
      </c>
      <c r="U383" s="10" t="n">
        <v>0.2</v>
      </c>
      <c r="V383" s="10" t="n">
        <v>0.144</v>
      </c>
      <c r="W383" s="10" t="n">
        <v>0.78</v>
      </c>
      <c r="X383" s="10" t="n">
        <v>0.12</v>
      </c>
      <c r="Y383" s="10" t="n">
        <v>0.8736</v>
      </c>
      <c r="Z383" s="10" t="n">
        <v>2873.306980992</v>
      </c>
    </row>
    <row r="384" customFormat="false" ht="13.5" hidden="false" customHeight="true" outlineLevel="0" collapsed="false">
      <c r="C384" s="10" t="s">
        <v>35</v>
      </c>
      <c r="D384" s="10" t="s">
        <v>254</v>
      </c>
      <c r="E384" s="10" t="s">
        <v>4</v>
      </c>
      <c r="F384" s="10" t="s">
        <v>1228</v>
      </c>
      <c r="G384" s="10" t="s">
        <v>68</v>
      </c>
      <c r="H384" s="10" t="s">
        <v>166</v>
      </c>
      <c r="I384" s="10" t="s">
        <v>111</v>
      </c>
      <c r="J384" s="10" t="s">
        <v>1101</v>
      </c>
      <c r="P384" s="10" t="s">
        <v>49</v>
      </c>
      <c r="Q384" s="10" t="n">
        <v>295.33104</v>
      </c>
      <c r="R384" s="10" t="n">
        <v>295.33104</v>
      </c>
      <c r="T384" s="10" t="n">
        <v>0.11</v>
      </c>
      <c r="U384" s="10" t="n">
        <v>0.2</v>
      </c>
      <c r="V384" s="10" t="n">
        <v>0.132</v>
      </c>
      <c r="W384" s="10" t="n">
        <v>0.76</v>
      </c>
      <c r="X384" s="10" t="n">
        <v>0.12</v>
      </c>
      <c r="Y384" s="10" t="n">
        <v>0.8512</v>
      </c>
      <c r="Z384" s="10" t="n">
        <v>290.369478528</v>
      </c>
    </row>
    <row r="385" customFormat="false" ht="13.5" hidden="false" customHeight="true" outlineLevel="0" collapsed="false">
      <c r="C385" s="10" t="s">
        <v>35</v>
      </c>
      <c r="D385" s="10" t="s">
        <v>254</v>
      </c>
      <c r="E385" s="10" t="s">
        <v>4</v>
      </c>
      <c r="F385" s="10" t="s">
        <v>1228</v>
      </c>
      <c r="G385" s="10" t="s">
        <v>68</v>
      </c>
      <c r="H385" s="10" t="s">
        <v>166</v>
      </c>
      <c r="I385" s="10" t="s">
        <v>111</v>
      </c>
      <c r="J385" s="10" t="s">
        <v>1103</v>
      </c>
      <c r="P385" s="10" t="s">
        <v>49</v>
      </c>
      <c r="Q385" s="10" t="n">
        <v>2411.8152</v>
      </c>
      <c r="R385" s="10" t="n">
        <v>2411.8152</v>
      </c>
      <c r="T385" s="10" t="n">
        <v>0.1</v>
      </c>
      <c r="U385" s="10" t="n">
        <v>0.2</v>
      </c>
      <c r="V385" s="10" t="n">
        <v>0.12</v>
      </c>
      <c r="W385" s="10" t="n">
        <v>0.74</v>
      </c>
      <c r="X385" s="10" t="n">
        <v>0.12</v>
      </c>
      <c r="Y385" s="10" t="n">
        <v>0.8288</v>
      </c>
      <c r="Z385" s="10" t="n">
        <v>2288.33026176</v>
      </c>
    </row>
    <row r="386" customFormat="false" ht="13.5" hidden="false" customHeight="true" outlineLevel="0" collapsed="false">
      <c r="C386" s="10" t="s">
        <v>35</v>
      </c>
      <c r="D386" s="10" t="s">
        <v>254</v>
      </c>
      <c r="E386" s="10" t="s">
        <v>4</v>
      </c>
      <c r="F386" s="10" t="s">
        <v>1228</v>
      </c>
      <c r="G386" s="10" t="s">
        <v>68</v>
      </c>
      <c r="H386" s="10" t="s">
        <v>166</v>
      </c>
      <c r="I386" s="10" t="s">
        <v>111</v>
      </c>
      <c r="J386" s="10" t="s">
        <v>1104</v>
      </c>
      <c r="P386" s="10" t="s">
        <v>49</v>
      </c>
      <c r="Q386" s="10" t="n">
        <v>1819.6614</v>
      </c>
      <c r="R386" s="10" t="n">
        <v>1819.6614</v>
      </c>
      <c r="T386" s="10" t="n">
        <v>0.09</v>
      </c>
      <c r="U386" s="10" t="n">
        <v>0.2</v>
      </c>
      <c r="V386" s="10" t="n">
        <v>0.108</v>
      </c>
      <c r="W386" s="10" t="n">
        <v>0.73</v>
      </c>
      <c r="X386" s="10" t="n">
        <v>0.12</v>
      </c>
      <c r="Y386" s="10" t="n">
        <v>0.8176</v>
      </c>
      <c r="Z386" s="10" t="n">
        <v>1684.27859184</v>
      </c>
    </row>
    <row r="387" customFormat="false" ht="13.5" hidden="false" customHeight="true" outlineLevel="0" collapsed="false">
      <c r="C387" s="10" t="s">
        <v>35</v>
      </c>
      <c r="D387" s="10" t="s">
        <v>254</v>
      </c>
      <c r="E387" s="10" t="s">
        <v>4</v>
      </c>
      <c r="F387" s="10" t="s">
        <v>1228</v>
      </c>
      <c r="G387" s="10" t="s">
        <v>68</v>
      </c>
      <c r="H387" s="10" t="s">
        <v>166</v>
      </c>
      <c r="I387" s="10" t="s">
        <v>111</v>
      </c>
      <c r="J387" s="10" t="s">
        <v>1105</v>
      </c>
      <c r="P387" s="10" t="s">
        <v>49</v>
      </c>
      <c r="Q387" s="10" t="n">
        <v>7527.2208</v>
      </c>
      <c r="R387" s="10" t="n">
        <v>7527.2208</v>
      </c>
      <c r="T387" s="10" t="n">
        <v>0.08</v>
      </c>
      <c r="U387" s="10" t="n">
        <v>0.2</v>
      </c>
      <c r="V387" s="10" t="n">
        <v>0.096</v>
      </c>
      <c r="W387" s="10" t="n">
        <v>0.72</v>
      </c>
      <c r="X387" s="10" t="n">
        <v>0.12</v>
      </c>
      <c r="Y387" s="10" t="n">
        <v>0.8064</v>
      </c>
      <c r="Z387" s="10" t="n">
        <v>6792.56404992</v>
      </c>
    </row>
    <row r="388" customFormat="false" ht="13.5" hidden="false" customHeight="true" outlineLevel="0" collapsed="false">
      <c r="C388" s="10" t="s">
        <v>35</v>
      </c>
      <c r="D388" s="10" t="s">
        <v>254</v>
      </c>
      <c r="E388" s="10" t="s">
        <v>4</v>
      </c>
      <c r="F388" s="10" t="s">
        <v>1228</v>
      </c>
      <c r="G388" s="10" t="s">
        <v>68</v>
      </c>
      <c r="H388" s="10" t="s">
        <v>166</v>
      </c>
      <c r="I388" s="10" t="s">
        <v>1211</v>
      </c>
      <c r="J388" s="10" t="s">
        <v>1123</v>
      </c>
      <c r="P388" s="10" t="s">
        <v>49</v>
      </c>
      <c r="Q388" s="10" t="n">
        <v>620.0733864</v>
      </c>
      <c r="R388" s="10" t="n">
        <v>620.0733864</v>
      </c>
      <c r="T388" s="10" t="n">
        <v>0.05</v>
      </c>
      <c r="U388" s="10" t="n">
        <v>0.2</v>
      </c>
      <c r="V388" s="10" t="n">
        <v>0.06</v>
      </c>
      <c r="W388" s="10" t="n">
        <v>1.2</v>
      </c>
      <c r="X388" s="10" t="n">
        <v>0.12</v>
      </c>
      <c r="Y388" s="10" t="n">
        <v>1.344</v>
      </c>
      <c r="Z388" s="10" t="n">
        <v>870.5830345056</v>
      </c>
    </row>
    <row r="389" customFormat="false" ht="13.5" hidden="false" customHeight="true" outlineLevel="0" collapsed="false">
      <c r="C389" s="10" t="s">
        <v>35</v>
      </c>
      <c r="D389" s="10" t="s">
        <v>254</v>
      </c>
      <c r="E389" s="10" t="s">
        <v>4</v>
      </c>
      <c r="F389" s="10" t="s">
        <v>1228</v>
      </c>
      <c r="G389" s="10" t="s">
        <v>68</v>
      </c>
      <c r="H389" s="10" t="s">
        <v>170</v>
      </c>
      <c r="I389" s="10" t="s">
        <v>110</v>
      </c>
      <c r="J389" s="10" t="s">
        <v>1109</v>
      </c>
      <c r="P389" s="10" t="s">
        <v>47</v>
      </c>
      <c r="Q389" s="10" t="n">
        <v>87.15</v>
      </c>
      <c r="R389" s="10" t="n">
        <v>87.15</v>
      </c>
      <c r="T389" s="10" t="n">
        <v>10</v>
      </c>
      <c r="U389" s="10" t="n">
        <v>0.2</v>
      </c>
      <c r="V389" s="10" t="n">
        <v>12</v>
      </c>
      <c r="W389" s="10" t="n">
        <v>98</v>
      </c>
      <c r="X389" s="10" t="n">
        <v>0.12</v>
      </c>
      <c r="Y389" s="10" t="n">
        <v>109.76</v>
      </c>
      <c r="Z389" s="10" t="n">
        <v>10611.384</v>
      </c>
    </row>
    <row r="390" customFormat="false" ht="13.5" hidden="false" customHeight="true" outlineLevel="0" collapsed="false">
      <c r="C390" s="10" t="s">
        <v>35</v>
      </c>
      <c r="D390" s="10" t="s">
        <v>254</v>
      </c>
      <c r="E390" s="10" t="s">
        <v>4</v>
      </c>
      <c r="F390" s="10" t="s">
        <v>1228</v>
      </c>
      <c r="G390" s="10" t="s">
        <v>68</v>
      </c>
      <c r="H390" s="10" t="s">
        <v>170</v>
      </c>
      <c r="I390" s="10" t="s">
        <v>153</v>
      </c>
      <c r="J390" s="10" t="s">
        <v>153</v>
      </c>
      <c r="P390" s="10" t="s">
        <v>45</v>
      </c>
      <c r="Q390" s="10" t="n">
        <v>581</v>
      </c>
      <c r="R390" s="10" t="n">
        <v>581</v>
      </c>
      <c r="T390" s="10" t="n">
        <v>6</v>
      </c>
      <c r="U390" s="10" t="n">
        <v>0.2</v>
      </c>
      <c r="V390" s="10" t="n">
        <v>7.2</v>
      </c>
      <c r="W390" s="10" t="n">
        <v>5</v>
      </c>
      <c r="X390" s="10" t="n">
        <v>0.12</v>
      </c>
      <c r="Y390" s="10" t="n">
        <v>5.6</v>
      </c>
      <c r="Z390" s="10" t="n">
        <v>7436.8</v>
      </c>
    </row>
    <row r="391" customFormat="false" ht="13.5" hidden="false" customHeight="true" outlineLevel="0" collapsed="false">
      <c r="C391" s="10" t="s">
        <v>35</v>
      </c>
      <c r="D391" s="10" t="s">
        <v>254</v>
      </c>
      <c r="E391" s="10" t="s">
        <v>4</v>
      </c>
      <c r="F391" s="10" t="s">
        <v>1228</v>
      </c>
      <c r="G391" s="10" t="s">
        <v>68</v>
      </c>
      <c r="H391" s="10" t="s">
        <v>170</v>
      </c>
      <c r="I391" s="10" t="s">
        <v>111</v>
      </c>
      <c r="J391" s="10" t="s">
        <v>1100</v>
      </c>
      <c r="P391" s="10" t="s">
        <v>49</v>
      </c>
      <c r="Q391" s="10" t="n">
        <v>11514.5</v>
      </c>
      <c r="R391" s="10" t="n">
        <v>11514.5</v>
      </c>
      <c r="T391" s="10" t="n">
        <v>0.12</v>
      </c>
      <c r="U391" s="10" t="n">
        <v>0.2</v>
      </c>
      <c r="V391" s="10" t="n">
        <v>0.144</v>
      </c>
      <c r="W391" s="10" t="n">
        <v>0.78</v>
      </c>
      <c r="X391" s="10" t="n">
        <v>0.12</v>
      </c>
      <c r="Y391" s="10" t="n">
        <v>0.8736</v>
      </c>
      <c r="Z391" s="10" t="n">
        <v>11717.1552</v>
      </c>
    </row>
    <row r="392" customFormat="false" ht="13.5" hidden="false" customHeight="true" outlineLevel="0" collapsed="false">
      <c r="C392" s="10" t="s">
        <v>35</v>
      </c>
      <c r="D392" s="10" t="s">
        <v>254</v>
      </c>
      <c r="E392" s="10" t="s">
        <v>4</v>
      </c>
      <c r="F392" s="10" t="s">
        <v>1228</v>
      </c>
      <c r="G392" s="10" t="s">
        <v>68</v>
      </c>
      <c r="H392" s="10" t="s">
        <v>170</v>
      </c>
      <c r="I392" s="10" t="s">
        <v>111</v>
      </c>
      <c r="J392" s="10" t="s">
        <v>1101</v>
      </c>
      <c r="P392" s="10" t="s">
        <v>49</v>
      </c>
      <c r="Q392" s="10" t="n">
        <v>166.5</v>
      </c>
      <c r="R392" s="10" t="n">
        <v>166.5</v>
      </c>
      <c r="T392" s="10" t="n">
        <v>0.11</v>
      </c>
      <c r="U392" s="10" t="n">
        <v>0.2</v>
      </c>
      <c r="V392" s="10" t="n">
        <v>0.132</v>
      </c>
      <c r="W392" s="10" t="n">
        <v>0.76</v>
      </c>
      <c r="X392" s="10" t="n">
        <v>0.12</v>
      </c>
      <c r="Y392" s="10" t="n">
        <v>0.8512</v>
      </c>
      <c r="Z392" s="10" t="n">
        <v>163.7028</v>
      </c>
    </row>
    <row r="393" customFormat="false" ht="13.5" hidden="false" customHeight="true" outlineLevel="0" collapsed="false">
      <c r="C393" s="10" t="s">
        <v>35</v>
      </c>
      <c r="D393" s="10" t="s">
        <v>254</v>
      </c>
      <c r="E393" s="10" t="s">
        <v>4</v>
      </c>
      <c r="F393" s="10" t="s">
        <v>1228</v>
      </c>
      <c r="G393" s="10" t="s">
        <v>68</v>
      </c>
      <c r="H393" s="10" t="s">
        <v>170</v>
      </c>
      <c r="I393" s="10" t="s">
        <v>1211</v>
      </c>
      <c r="J393" s="10" t="s">
        <v>1123</v>
      </c>
      <c r="P393" s="10" t="s">
        <v>49</v>
      </c>
      <c r="Q393" s="10" t="n">
        <v>467.24</v>
      </c>
      <c r="R393" s="10" t="n">
        <v>467.24</v>
      </c>
      <c r="T393" s="10" t="n">
        <v>0.05</v>
      </c>
      <c r="U393" s="10" t="n">
        <v>0.2</v>
      </c>
      <c r="V393" s="10" t="n">
        <v>0.06</v>
      </c>
      <c r="W393" s="10" t="n">
        <v>1.2</v>
      </c>
      <c r="X393" s="10" t="n">
        <v>0.12</v>
      </c>
      <c r="Y393" s="10" t="n">
        <v>1.344</v>
      </c>
      <c r="Z393" s="10" t="n">
        <v>656.00496</v>
      </c>
    </row>
    <row r="394" customFormat="false" ht="13.5" hidden="false" customHeight="true" outlineLevel="0" collapsed="false">
      <c r="C394" s="10" t="s">
        <v>35</v>
      </c>
      <c r="D394" s="10" t="s">
        <v>254</v>
      </c>
      <c r="E394" s="10" t="s">
        <v>4</v>
      </c>
      <c r="F394" s="10" t="s">
        <v>1228</v>
      </c>
      <c r="G394" s="10" t="s">
        <v>68</v>
      </c>
      <c r="H394" s="10" t="s">
        <v>1218</v>
      </c>
      <c r="I394" s="10" t="s">
        <v>110</v>
      </c>
      <c r="J394" s="10" t="s">
        <v>1109</v>
      </c>
      <c r="P394" s="10" t="s">
        <v>47</v>
      </c>
      <c r="Q394" s="10" t="n">
        <v>23.43</v>
      </c>
      <c r="R394" s="10" t="n">
        <v>23.43</v>
      </c>
      <c r="T394" s="10" t="n">
        <v>10</v>
      </c>
      <c r="U394" s="10" t="n">
        <v>0.2</v>
      </c>
      <c r="V394" s="10" t="n">
        <v>12</v>
      </c>
      <c r="W394" s="10" t="n">
        <v>98</v>
      </c>
      <c r="X394" s="10" t="n">
        <v>0.12</v>
      </c>
      <c r="Y394" s="10" t="n">
        <v>109.76</v>
      </c>
      <c r="Z394" s="10" t="n">
        <v>2852.8368</v>
      </c>
    </row>
    <row r="395" customFormat="false" ht="13.5" hidden="false" customHeight="true" outlineLevel="0" collapsed="false">
      <c r="C395" s="10" t="s">
        <v>35</v>
      </c>
      <c r="D395" s="10" t="s">
        <v>254</v>
      </c>
      <c r="E395" s="10" t="s">
        <v>4</v>
      </c>
      <c r="F395" s="10" t="s">
        <v>1228</v>
      </c>
      <c r="G395" s="10" t="s">
        <v>68</v>
      </c>
      <c r="H395" s="10" t="s">
        <v>1218</v>
      </c>
      <c r="I395" s="10" t="s">
        <v>153</v>
      </c>
      <c r="J395" s="10" t="s">
        <v>153</v>
      </c>
      <c r="P395" s="10" t="s">
        <v>45</v>
      </c>
      <c r="Q395" s="10" t="n">
        <v>139.7</v>
      </c>
      <c r="R395" s="10" t="n">
        <v>139.7</v>
      </c>
      <c r="T395" s="10" t="n">
        <v>6</v>
      </c>
      <c r="U395" s="10" t="n">
        <v>0.2</v>
      </c>
      <c r="V395" s="10" t="n">
        <v>7.2</v>
      </c>
      <c r="W395" s="10" t="n">
        <v>5</v>
      </c>
      <c r="X395" s="10" t="n">
        <v>0.12</v>
      </c>
      <c r="Y395" s="10" t="n">
        <v>5.6</v>
      </c>
      <c r="Z395" s="10" t="n">
        <v>1788.16</v>
      </c>
    </row>
    <row r="396" customFormat="false" ht="13.5" hidden="false" customHeight="true" outlineLevel="0" collapsed="false">
      <c r="C396" s="10" t="s">
        <v>35</v>
      </c>
      <c r="D396" s="10" t="s">
        <v>254</v>
      </c>
      <c r="E396" s="10" t="s">
        <v>4</v>
      </c>
      <c r="F396" s="10" t="s">
        <v>1228</v>
      </c>
      <c r="G396" s="10" t="s">
        <v>68</v>
      </c>
      <c r="H396" s="10" t="s">
        <v>1218</v>
      </c>
      <c r="I396" s="10" t="s">
        <v>111</v>
      </c>
      <c r="J396" s="10" t="s">
        <v>1100</v>
      </c>
      <c r="P396" s="10" t="s">
        <v>49</v>
      </c>
      <c r="Q396" s="10" t="n">
        <v>241.864</v>
      </c>
      <c r="R396" s="10" t="n">
        <v>241.864</v>
      </c>
      <c r="T396" s="10" t="n">
        <v>0.12</v>
      </c>
      <c r="U396" s="10" t="n">
        <v>0.2</v>
      </c>
      <c r="V396" s="10" t="n">
        <v>0.144</v>
      </c>
      <c r="W396" s="10" t="n">
        <v>0.78</v>
      </c>
      <c r="X396" s="10" t="n">
        <v>0.12</v>
      </c>
      <c r="Y396" s="10" t="n">
        <v>0.8736</v>
      </c>
      <c r="Z396" s="10" t="n">
        <v>246.1208064</v>
      </c>
    </row>
    <row r="397" customFormat="false" ht="13.5" hidden="false" customHeight="true" outlineLevel="0" collapsed="false">
      <c r="C397" s="10" t="s">
        <v>35</v>
      </c>
      <c r="D397" s="10" t="s">
        <v>254</v>
      </c>
      <c r="E397" s="10" t="s">
        <v>4</v>
      </c>
      <c r="F397" s="10" t="s">
        <v>1228</v>
      </c>
      <c r="G397" s="10" t="s">
        <v>68</v>
      </c>
      <c r="H397" s="10" t="s">
        <v>1218</v>
      </c>
      <c r="I397" s="10" t="s">
        <v>111</v>
      </c>
      <c r="J397" s="10" t="s">
        <v>1101</v>
      </c>
      <c r="P397" s="10" t="s">
        <v>49</v>
      </c>
      <c r="Q397" s="10" t="n">
        <v>1071.6384</v>
      </c>
      <c r="R397" s="10" t="n">
        <v>1071.6384</v>
      </c>
      <c r="T397" s="10" t="n">
        <v>0.11</v>
      </c>
      <c r="U397" s="10" t="n">
        <v>0.2</v>
      </c>
      <c r="V397" s="10" t="n">
        <v>0.132</v>
      </c>
      <c r="W397" s="10" t="n">
        <v>0.76</v>
      </c>
      <c r="X397" s="10" t="n">
        <v>0.12</v>
      </c>
      <c r="Y397" s="10" t="n">
        <v>0.8512</v>
      </c>
      <c r="Z397" s="10" t="n">
        <v>1053.63487488</v>
      </c>
    </row>
    <row r="398" customFormat="false" ht="13.5" hidden="false" customHeight="true" outlineLevel="0" collapsed="false">
      <c r="C398" s="10" t="s">
        <v>35</v>
      </c>
      <c r="D398" s="10" t="s">
        <v>254</v>
      </c>
      <c r="E398" s="10" t="s">
        <v>4</v>
      </c>
      <c r="F398" s="10" t="s">
        <v>1228</v>
      </c>
      <c r="G398" s="10" t="s">
        <v>68</v>
      </c>
      <c r="H398" s="10" t="s">
        <v>1218</v>
      </c>
      <c r="I398" s="10" t="s">
        <v>111</v>
      </c>
      <c r="J398" s="10" t="s">
        <v>1102</v>
      </c>
      <c r="P398" s="10" t="s">
        <v>49</v>
      </c>
      <c r="Q398" s="10" t="n">
        <v>1122.4736</v>
      </c>
      <c r="R398" s="10" t="n">
        <v>1122.4736</v>
      </c>
      <c r="T398" s="10" t="n">
        <v>0.1</v>
      </c>
      <c r="U398" s="10" t="n">
        <v>0.2</v>
      </c>
      <c r="V398" s="10" t="n">
        <v>0.12</v>
      </c>
      <c r="W398" s="10" t="n">
        <v>0.75</v>
      </c>
      <c r="X398" s="10" t="n">
        <v>0.12</v>
      </c>
      <c r="Y398" s="10" t="n">
        <v>0.84</v>
      </c>
      <c r="Z398" s="10" t="n">
        <v>1077.574656</v>
      </c>
    </row>
    <row r="399" customFormat="false" ht="13.5" hidden="false" customHeight="true" outlineLevel="0" collapsed="false">
      <c r="C399" s="10" t="s">
        <v>35</v>
      </c>
      <c r="D399" s="10" t="s">
        <v>254</v>
      </c>
      <c r="E399" s="10" t="s">
        <v>4</v>
      </c>
      <c r="F399" s="10" t="s">
        <v>1228</v>
      </c>
      <c r="G399" s="10" t="s">
        <v>68</v>
      </c>
      <c r="H399" s="10" t="s">
        <v>1218</v>
      </c>
      <c r="I399" s="10" t="s">
        <v>111</v>
      </c>
      <c r="J399" s="10" t="s">
        <v>1104</v>
      </c>
      <c r="P399" s="10" t="s">
        <v>49</v>
      </c>
      <c r="Q399" s="10" t="n">
        <v>822.016</v>
      </c>
      <c r="R399" s="10" t="n">
        <v>822.016</v>
      </c>
      <c r="T399" s="10" t="n">
        <v>0.09</v>
      </c>
      <c r="U399" s="10" t="n">
        <v>0.2</v>
      </c>
      <c r="V399" s="10" t="n">
        <v>0.108</v>
      </c>
      <c r="W399" s="10" t="n">
        <v>0.73</v>
      </c>
      <c r="X399" s="10" t="n">
        <v>0.12</v>
      </c>
      <c r="Y399" s="10" t="n">
        <v>0.8176</v>
      </c>
      <c r="Z399" s="10" t="n">
        <v>760.8580096</v>
      </c>
    </row>
    <row r="400" customFormat="false" ht="13.5" hidden="false" customHeight="true" outlineLevel="0" collapsed="false">
      <c r="C400" s="10" t="s">
        <v>35</v>
      </c>
      <c r="D400" s="10" t="s">
        <v>254</v>
      </c>
      <c r="E400" s="10" t="s">
        <v>4</v>
      </c>
      <c r="F400" s="10" t="s">
        <v>1228</v>
      </c>
      <c r="G400" s="10" t="s">
        <v>68</v>
      </c>
      <c r="H400" s="10" t="s">
        <v>1218</v>
      </c>
      <c r="I400" s="10" t="s">
        <v>1211</v>
      </c>
      <c r="J400" s="10" t="s">
        <v>1123</v>
      </c>
      <c r="P400" s="10" t="s">
        <v>49</v>
      </c>
      <c r="Q400" s="10" t="n">
        <v>130.31968</v>
      </c>
      <c r="R400" s="10" t="n">
        <v>130.31968</v>
      </c>
      <c r="T400" s="10" t="n">
        <v>0.05</v>
      </c>
      <c r="U400" s="10" t="n">
        <v>0.2</v>
      </c>
      <c r="V400" s="10" t="n">
        <v>0.06</v>
      </c>
      <c r="W400" s="10" t="n">
        <v>1.2</v>
      </c>
      <c r="X400" s="10" t="n">
        <v>0.12</v>
      </c>
      <c r="Y400" s="10" t="n">
        <v>1.344</v>
      </c>
      <c r="Z400" s="10" t="n">
        <v>182.96883072</v>
      </c>
    </row>
    <row r="401" customFormat="false" ht="13.5" hidden="false" customHeight="true" outlineLevel="0" collapsed="false">
      <c r="C401" s="10" t="s">
        <v>35</v>
      </c>
      <c r="D401" s="10" t="s">
        <v>254</v>
      </c>
      <c r="E401" s="10" t="s">
        <v>4</v>
      </c>
      <c r="F401" s="10" t="s">
        <v>1228</v>
      </c>
      <c r="G401" s="10" t="s">
        <v>68</v>
      </c>
      <c r="H401" s="10" t="s">
        <v>180</v>
      </c>
      <c r="I401" s="10" t="s">
        <v>110</v>
      </c>
      <c r="J401" s="10" t="s">
        <v>1109</v>
      </c>
      <c r="P401" s="10" t="s">
        <v>47</v>
      </c>
      <c r="Q401" s="10" t="n">
        <v>5.016</v>
      </c>
      <c r="R401" s="10" t="n">
        <v>5.016</v>
      </c>
      <c r="T401" s="10" t="n">
        <v>10</v>
      </c>
      <c r="U401" s="10" t="n">
        <v>0.2</v>
      </c>
      <c r="V401" s="10" t="n">
        <v>12</v>
      </c>
      <c r="W401" s="10" t="n">
        <v>98</v>
      </c>
      <c r="X401" s="10" t="n">
        <v>0.12</v>
      </c>
      <c r="Y401" s="10" t="n">
        <v>109.76</v>
      </c>
      <c r="Z401" s="10" t="n">
        <v>610.74816</v>
      </c>
    </row>
    <row r="402" customFormat="false" ht="13.5" hidden="false" customHeight="true" outlineLevel="0" collapsed="false">
      <c r="C402" s="10" t="s">
        <v>35</v>
      </c>
      <c r="D402" s="10" t="s">
        <v>254</v>
      </c>
      <c r="E402" s="10" t="s">
        <v>4</v>
      </c>
      <c r="F402" s="10" t="s">
        <v>1228</v>
      </c>
      <c r="G402" s="10" t="s">
        <v>68</v>
      </c>
      <c r="H402" s="10" t="s">
        <v>180</v>
      </c>
      <c r="I402" s="10" t="s">
        <v>153</v>
      </c>
      <c r="J402" s="10" t="s">
        <v>153</v>
      </c>
      <c r="P402" s="10" t="s">
        <v>45</v>
      </c>
      <c r="Q402" s="10" t="n">
        <v>75.24</v>
      </c>
      <c r="R402" s="10" t="n">
        <v>75.24</v>
      </c>
      <c r="T402" s="10" t="n">
        <v>6</v>
      </c>
      <c r="U402" s="10" t="n">
        <v>0.2</v>
      </c>
      <c r="V402" s="10" t="n">
        <v>7.2</v>
      </c>
      <c r="W402" s="10" t="n">
        <v>5</v>
      </c>
      <c r="X402" s="10" t="n">
        <v>0.12</v>
      </c>
      <c r="Y402" s="10" t="n">
        <v>5.6</v>
      </c>
      <c r="Z402" s="10" t="n">
        <v>963.072</v>
      </c>
    </row>
    <row r="403" customFormat="false" ht="13.5" hidden="false" customHeight="true" outlineLevel="0" collapsed="false">
      <c r="C403" s="10" t="s">
        <v>35</v>
      </c>
      <c r="D403" s="10" t="s">
        <v>254</v>
      </c>
      <c r="E403" s="10" t="s">
        <v>4</v>
      </c>
      <c r="F403" s="10" t="s">
        <v>1228</v>
      </c>
      <c r="G403" s="10" t="s">
        <v>68</v>
      </c>
      <c r="H403" s="10" t="s">
        <v>180</v>
      </c>
      <c r="I403" s="10" t="s">
        <v>111</v>
      </c>
      <c r="J403" s="10" t="s">
        <v>1117</v>
      </c>
      <c r="P403" s="10" t="s">
        <v>49</v>
      </c>
      <c r="Q403" s="10" t="n">
        <v>50.16</v>
      </c>
      <c r="R403" s="10" t="n">
        <v>50.16</v>
      </c>
      <c r="T403" s="10" t="n">
        <v>0.12</v>
      </c>
      <c r="U403" s="10" t="n">
        <v>0.2</v>
      </c>
      <c r="V403" s="10" t="n">
        <v>0.144</v>
      </c>
      <c r="W403" s="10" t="n">
        <v>0.77</v>
      </c>
      <c r="X403" s="10" t="n">
        <v>0.12</v>
      </c>
      <c r="Y403" s="10" t="n">
        <v>0.8624</v>
      </c>
      <c r="Z403" s="10" t="n">
        <v>50.481024</v>
      </c>
    </row>
    <row r="404" customFormat="false" ht="13.5" hidden="false" customHeight="true" outlineLevel="0" collapsed="false">
      <c r="C404" s="10" t="s">
        <v>35</v>
      </c>
      <c r="D404" s="10" t="s">
        <v>254</v>
      </c>
      <c r="E404" s="10" t="s">
        <v>4</v>
      </c>
      <c r="F404" s="10" t="s">
        <v>1228</v>
      </c>
      <c r="G404" s="10" t="s">
        <v>68</v>
      </c>
      <c r="H404" s="10" t="s">
        <v>180</v>
      </c>
      <c r="I404" s="10" t="s">
        <v>111</v>
      </c>
      <c r="J404" s="10" t="s">
        <v>1101</v>
      </c>
      <c r="P404" s="10" t="s">
        <v>49</v>
      </c>
      <c r="Q404" s="10" t="n">
        <v>601.92</v>
      </c>
      <c r="R404" s="10" t="n">
        <v>601.92</v>
      </c>
      <c r="T404" s="10" t="n">
        <v>0.11</v>
      </c>
      <c r="U404" s="10" t="n">
        <v>0.2</v>
      </c>
      <c r="V404" s="10" t="n">
        <v>0.132</v>
      </c>
      <c r="W404" s="10" t="n">
        <v>0.76</v>
      </c>
      <c r="X404" s="10" t="n">
        <v>0.12</v>
      </c>
      <c r="Y404" s="10" t="n">
        <v>0.8512</v>
      </c>
      <c r="Z404" s="10" t="n">
        <v>591.807744</v>
      </c>
    </row>
    <row r="405" customFormat="false" ht="13.5" hidden="false" customHeight="true" outlineLevel="0" collapsed="false">
      <c r="C405" s="10" t="s">
        <v>35</v>
      </c>
      <c r="D405" s="10" t="s">
        <v>254</v>
      </c>
      <c r="E405" s="10" t="s">
        <v>4</v>
      </c>
      <c r="F405" s="10" t="s">
        <v>1228</v>
      </c>
      <c r="G405" s="10" t="s">
        <v>68</v>
      </c>
      <c r="H405" s="10" t="s">
        <v>180</v>
      </c>
      <c r="I405" s="10" t="s">
        <v>111</v>
      </c>
      <c r="J405" s="10" t="s">
        <v>1103</v>
      </c>
      <c r="P405" s="10" t="s">
        <v>49</v>
      </c>
      <c r="Q405" s="10" t="n">
        <v>125.4</v>
      </c>
      <c r="R405" s="10" t="n">
        <v>125.4</v>
      </c>
      <c r="T405" s="10" t="n">
        <v>0.1</v>
      </c>
      <c r="U405" s="10" t="n">
        <v>0.2</v>
      </c>
      <c r="V405" s="10" t="n">
        <v>0.12</v>
      </c>
      <c r="W405" s="10" t="n">
        <v>0.74</v>
      </c>
      <c r="X405" s="10" t="n">
        <v>0.12</v>
      </c>
      <c r="Y405" s="10" t="n">
        <v>0.8288</v>
      </c>
      <c r="Z405" s="10" t="n">
        <v>118.97952</v>
      </c>
    </row>
    <row r="406" customFormat="false" ht="13.5" hidden="false" customHeight="true" outlineLevel="0" collapsed="false">
      <c r="C406" s="10" t="s">
        <v>35</v>
      </c>
      <c r="D406" s="10" t="s">
        <v>254</v>
      </c>
      <c r="E406" s="10" t="s">
        <v>4</v>
      </c>
      <c r="F406" s="10" t="s">
        <v>1228</v>
      </c>
      <c r="G406" s="10" t="s">
        <v>68</v>
      </c>
      <c r="H406" s="10" t="s">
        <v>180</v>
      </c>
      <c r="I406" s="10" t="s">
        <v>1211</v>
      </c>
      <c r="J406" s="10" t="s">
        <v>1123</v>
      </c>
      <c r="P406" s="10" t="s">
        <v>49</v>
      </c>
      <c r="Q406" s="10" t="n">
        <v>31.0992</v>
      </c>
      <c r="R406" s="10" t="n">
        <v>31.0992</v>
      </c>
      <c r="T406" s="10" t="n">
        <v>0.05</v>
      </c>
      <c r="U406" s="10" t="n">
        <v>0.2</v>
      </c>
      <c r="V406" s="10" t="n">
        <v>0.06</v>
      </c>
      <c r="W406" s="10" t="n">
        <v>1.2</v>
      </c>
      <c r="X406" s="10" t="n">
        <v>0.12</v>
      </c>
      <c r="Y406" s="10" t="n">
        <v>1.344</v>
      </c>
      <c r="Z406" s="10" t="n">
        <v>43.6632768</v>
      </c>
    </row>
    <row r="407" customFormat="false" ht="13.5" hidden="false" customHeight="true" outlineLevel="0" collapsed="false">
      <c r="C407" s="10" t="s">
        <v>35</v>
      </c>
      <c r="D407" s="10" t="s">
        <v>254</v>
      </c>
      <c r="E407" s="10" t="s">
        <v>4</v>
      </c>
      <c r="F407" s="10" t="s">
        <v>1228</v>
      </c>
      <c r="G407" s="10" t="s">
        <v>68</v>
      </c>
      <c r="H407" s="10" t="s">
        <v>175</v>
      </c>
      <c r="I407" s="10" t="s">
        <v>110</v>
      </c>
      <c r="J407" s="10" t="s">
        <v>1109</v>
      </c>
      <c r="P407" s="10" t="s">
        <v>47</v>
      </c>
      <c r="Q407" s="10" t="n">
        <v>38.304</v>
      </c>
      <c r="R407" s="10" t="n">
        <v>38.304</v>
      </c>
      <c r="T407" s="10" t="n">
        <v>10</v>
      </c>
      <c r="U407" s="10" t="n">
        <v>0.2</v>
      </c>
      <c r="V407" s="10" t="n">
        <v>12</v>
      </c>
      <c r="W407" s="10" t="n">
        <v>98</v>
      </c>
      <c r="X407" s="10" t="n">
        <v>0.12</v>
      </c>
      <c r="Y407" s="10" t="n">
        <v>109.76</v>
      </c>
      <c r="Z407" s="10" t="n">
        <v>4663.89504</v>
      </c>
    </row>
    <row r="408" customFormat="false" ht="13.5" hidden="false" customHeight="true" outlineLevel="0" collapsed="false">
      <c r="C408" s="10" t="s">
        <v>35</v>
      </c>
      <c r="D408" s="10" t="s">
        <v>254</v>
      </c>
      <c r="E408" s="10" t="s">
        <v>4</v>
      </c>
      <c r="F408" s="10" t="s">
        <v>1228</v>
      </c>
      <c r="G408" s="10" t="s">
        <v>68</v>
      </c>
      <c r="H408" s="10" t="s">
        <v>175</v>
      </c>
      <c r="I408" s="10" t="s">
        <v>153</v>
      </c>
      <c r="J408" s="10" t="s">
        <v>153</v>
      </c>
      <c r="P408" s="10" t="s">
        <v>45</v>
      </c>
      <c r="Q408" s="10" t="n">
        <v>203.28</v>
      </c>
      <c r="R408" s="10" t="n">
        <v>203.28</v>
      </c>
      <c r="T408" s="10" t="n">
        <v>6</v>
      </c>
      <c r="U408" s="10" t="n">
        <v>0.2</v>
      </c>
      <c r="V408" s="10" t="n">
        <v>7.2</v>
      </c>
      <c r="W408" s="10" t="n">
        <v>5</v>
      </c>
      <c r="X408" s="10" t="n">
        <v>0.12</v>
      </c>
      <c r="Y408" s="10" t="n">
        <v>5.6</v>
      </c>
      <c r="Z408" s="10" t="n">
        <v>2601.984</v>
      </c>
    </row>
    <row r="409" customFormat="false" ht="13.5" hidden="false" customHeight="true" outlineLevel="0" collapsed="false">
      <c r="C409" s="10" t="s">
        <v>35</v>
      </c>
      <c r="D409" s="10" t="s">
        <v>254</v>
      </c>
      <c r="E409" s="10" t="s">
        <v>4</v>
      </c>
      <c r="F409" s="10" t="s">
        <v>1228</v>
      </c>
      <c r="G409" s="10" t="s">
        <v>68</v>
      </c>
      <c r="H409" s="10" t="s">
        <v>175</v>
      </c>
      <c r="I409" s="10" t="s">
        <v>111</v>
      </c>
      <c r="J409" s="10" t="s">
        <v>1100</v>
      </c>
      <c r="P409" s="10" t="s">
        <v>49</v>
      </c>
      <c r="Q409" s="10" t="n">
        <v>1889.9944</v>
      </c>
      <c r="R409" s="10" t="n">
        <v>1889.9944</v>
      </c>
      <c r="T409" s="10" t="n">
        <v>0.12</v>
      </c>
      <c r="U409" s="10" t="n">
        <v>0.2</v>
      </c>
      <c r="V409" s="10" t="n">
        <v>0.144</v>
      </c>
      <c r="W409" s="10" t="n">
        <v>0.78</v>
      </c>
      <c r="X409" s="10" t="n">
        <v>0.12</v>
      </c>
      <c r="Y409" s="10" t="n">
        <v>0.8736</v>
      </c>
      <c r="Z409" s="10" t="n">
        <v>1923.25830144</v>
      </c>
    </row>
    <row r="410" customFormat="false" ht="13.5" hidden="false" customHeight="true" outlineLevel="0" collapsed="false">
      <c r="C410" s="10" t="s">
        <v>35</v>
      </c>
      <c r="D410" s="10" t="s">
        <v>254</v>
      </c>
      <c r="E410" s="10" t="s">
        <v>4</v>
      </c>
      <c r="F410" s="10" t="s">
        <v>1228</v>
      </c>
      <c r="G410" s="10" t="s">
        <v>68</v>
      </c>
      <c r="H410" s="10" t="s">
        <v>175</v>
      </c>
      <c r="I410" s="10" t="s">
        <v>111</v>
      </c>
      <c r="J410" s="10" t="s">
        <v>1104</v>
      </c>
      <c r="P410" s="10" t="s">
        <v>49</v>
      </c>
      <c r="Q410" s="10" t="n">
        <v>4821.5232</v>
      </c>
      <c r="R410" s="10" t="n">
        <v>4821.5232</v>
      </c>
      <c r="T410" s="10" t="n">
        <v>0.09</v>
      </c>
      <c r="U410" s="10" t="n">
        <v>0.2</v>
      </c>
      <c r="V410" s="10" t="n">
        <v>0.108</v>
      </c>
      <c r="W410" s="10" t="n">
        <v>0.73</v>
      </c>
      <c r="X410" s="10" t="n">
        <v>0.12</v>
      </c>
      <c r="Y410" s="10" t="n">
        <v>0.8176</v>
      </c>
      <c r="Z410" s="10" t="n">
        <v>4462.80187392</v>
      </c>
    </row>
    <row r="411" customFormat="false" ht="13.5" hidden="false" customHeight="true" outlineLevel="0" collapsed="false">
      <c r="C411" s="10" t="s">
        <v>35</v>
      </c>
      <c r="D411" s="10" t="s">
        <v>254</v>
      </c>
      <c r="E411" s="10" t="s">
        <v>4</v>
      </c>
      <c r="F411" s="10" t="s">
        <v>1228</v>
      </c>
      <c r="G411" s="10" t="s">
        <v>68</v>
      </c>
      <c r="H411" s="10" t="s">
        <v>175</v>
      </c>
      <c r="I411" s="10" t="s">
        <v>1211</v>
      </c>
      <c r="J411" s="10" t="s">
        <v>1123</v>
      </c>
      <c r="P411" s="10" t="s">
        <v>49</v>
      </c>
      <c r="Q411" s="10" t="n">
        <v>268.460704</v>
      </c>
      <c r="R411" s="10" t="n">
        <v>268.460704</v>
      </c>
      <c r="T411" s="10" t="n">
        <v>0.05</v>
      </c>
      <c r="U411" s="10" t="n">
        <v>0.2</v>
      </c>
      <c r="V411" s="10" t="n">
        <v>0.06</v>
      </c>
      <c r="W411" s="10" t="n">
        <v>1.2</v>
      </c>
      <c r="X411" s="10" t="n">
        <v>0.12</v>
      </c>
      <c r="Y411" s="10" t="n">
        <v>1.344</v>
      </c>
      <c r="Z411" s="10" t="n">
        <v>376.918828416</v>
      </c>
    </row>
    <row r="412" customFormat="false" ht="13.5" hidden="false" customHeight="true" outlineLevel="0" collapsed="false">
      <c r="C412" s="10" t="s">
        <v>35</v>
      </c>
      <c r="D412" s="10" t="s">
        <v>254</v>
      </c>
      <c r="E412" s="10" t="s">
        <v>4</v>
      </c>
      <c r="F412" s="10" t="s">
        <v>1229</v>
      </c>
      <c r="G412" s="10" t="s">
        <v>68</v>
      </c>
      <c r="H412" s="10" t="s">
        <v>166</v>
      </c>
      <c r="I412" s="10" t="s">
        <v>110</v>
      </c>
      <c r="J412" s="10" t="s">
        <v>1109</v>
      </c>
      <c r="P412" s="10" t="s">
        <v>47</v>
      </c>
      <c r="Q412" s="10" t="n">
        <v>46.74115</v>
      </c>
      <c r="R412" s="10" t="n">
        <v>46.74115</v>
      </c>
      <c r="T412" s="10" t="n">
        <v>10</v>
      </c>
      <c r="U412" s="10" t="n">
        <v>0.2</v>
      </c>
      <c r="V412" s="10" t="n">
        <v>12</v>
      </c>
      <c r="W412" s="10" t="n">
        <v>98</v>
      </c>
      <c r="X412" s="10" t="n">
        <v>0.12</v>
      </c>
      <c r="Y412" s="10" t="n">
        <v>109.76</v>
      </c>
      <c r="Z412" s="10" t="n">
        <v>5691.202424</v>
      </c>
    </row>
    <row r="413" customFormat="false" ht="13.5" hidden="false" customHeight="true" outlineLevel="0" collapsed="false">
      <c r="C413" s="10" t="s">
        <v>35</v>
      </c>
      <c r="D413" s="10" t="s">
        <v>254</v>
      </c>
      <c r="E413" s="10" t="s">
        <v>4</v>
      </c>
      <c r="F413" s="10" t="s">
        <v>1229</v>
      </c>
      <c r="G413" s="10" t="s">
        <v>68</v>
      </c>
      <c r="H413" s="10" t="s">
        <v>166</v>
      </c>
      <c r="I413" s="10" t="s">
        <v>153</v>
      </c>
      <c r="J413" s="10" t="s">
        <v>153</v>
      </c>
      <c r="P413" s="10" t="s">
        <v>45</v>
      </c>
      <c r="Q413" s="10" t="n">
        <v>446.526</v>
      </c>
      <c r="R413" s="10" t="n">
        <v>446.526</v>
      </c>
      <c r="T413" s="10" t="n">
        <v>6</v>
      </c>
      <c r="U413" s="10" t="n">
        <v>0.2</v>
      </c>
      <c r="V413" s="10" t="n">
        <v>7.2</v>
      </c>
      <c r="W413" s="10" t="n">
        <v>5</v>
      </c>
      <c r="X413" s="10" t="n">
        <v>0.12</v>
      </c>
      <c r="Y413" s="10" t="n">
        <v>5.6</v>
      </c>
      <c r="Z413" s="10" t="n">
        <v>5715.5328</v>
      </c>
    </row>
    <row r="414" customFormat="false" ht="13.5" hidden="false" customHeight="true" outlineLevel="0" collapsed="false">
      <c r="C414" s="10" t="s">
        <v>35</v>
      </c>
      <c r="D414" s="10" t="s">
        <v>254</v>
      </c>
      <c r="E414" s="10" t="s">
        <v>4</v>
      </c>
      <c r="F414" s="10" t="s">
        <v>1229</v>
      </c>
      <c r="G414" s="10" t="s">
        <v>68</v>
      </c>
      <c r="H414" s="10" t="s">
        <v>166</v>
      </c>
      <c r="I414" s="10" t="s">
        <v>111</v>
      </c>
      <c r="J414" s="10" t="s">
        <v>1117</v>
      </c>
      <c r="P414" s="10" t="s">
        <v>49</v>
      </c>
      <c r="Q414" s="10" t="n">
        <v>624.1948</v>
      </c>
      <c r="R414" s="10" t="n">
        <v>624.1948</v>
      </c>
      <c r="T414" s="10" t="n">
        <v>0.12</v>
      </c>
      <c r="U414" s="10" t="n">
        <v>0.2</v>
      </c>
      <c r="V414" s="10" t="n">
        <v>0.144</v>
      </c>
      <c r="W414" s="10" t="n">
        <v>0.77</v>
      </c>
      <c r="X414" s="10" t="n">
        <v>0.12</v>
      </c>
      <c r="Y414" s="10" t="n">
        <v>0.8624</v>
      </c>
      <c r="Z414" s="10" t="n">
        <v>628.18964672</v>
      </c>
    </row>
    <row r="415" customFormat="false" ht="13.5" hidden="false" customHeight="true" outlineLevel="0" collapsed="false">
      <c r="C415" s="10" t="s">
        <v>35</v>
      </c>
      <c r="D415" s="10" t="s">
        <v>254</v>
      </c>
      <c r="E415" s="10" t="s">
        <v>4</v>
      </c>
      <c r="F415" s="10" t="s">
        <v>1229</v>
      </c>
      <c r="G415" s="10" t="s">
        <v>68</v>
      </c>
      <c r="H415" s="10" t="s">
        <v>166</v>
      </c>
      <c r="I415" s="10" t="s">
        <v>111</v>
      </c>
      <c r="J415" s="10" t="s">
        <v>1100</v>
      </c>
      <c r="P415" s="10" t="s">
        <v>49</v>
      </c>
      <c r="Q415" s="10" t="n">
        <v>2823.61142</v>
      </c>
      <c r="R415" s="10" t="n">
        <v>2823.61142</v>
      </c>
      <c r="T415" s="10" t="n">
        <v>0.12</v>
      </c>
      <c r="U415" s="10" t="n">
        <v>0.2</v>
      </c>
      <c r="V415" s="10" t="n">
        <v>0.144</v>
      </c>
      <c r="W415" s="10" t="n">
        <v>0.78</v>
      </c>
      <c r="X415" s="10" t="n">
        <v>0.12</v>
      </c>
      <c r="Y415" s="10" t="n">
        <v>0.8736</v>
      </c>
      <c r="Z415" s="10" t="n">
        <v>2873.306980992</v>
      </c>
    </row>
    <row r="416" customFormat="false" ht="13.5" hidden="false" customHeight="true" outlineLevel="0" collapsed="false">
      <c r="C416" s="10" t="s">
        <v>35</v>
      </c>
      <c r="D416" s="10" t="s">
        <v>254</v>
      </c>
      <c r="E416" s="10" t="s">
        <v>4</v>
      </c>
      <c r="F416" s="10" t="s">
        <v>1229</v>
      </c>
      <c r="G416" s="10" t="s">
        <v>68</v>
      </c>
      <c r="H416" s="10" t="s">
        <v>166</v>
      </c>
      <c r="I416" s="10" t="s">
        <v>111</v>
      </c>
      <c r="J416" s="10" t="s">
        <v>1101</v>
      </c>
      <c r="P416" s="10" t="s">
        <v>49</v>
      </c>
      <c r="Q416" s="10" t="n">
        <v>295.33104</v>
      </c>
      <c r="R416" s="10" t="n">
        <v>295.33104</v>
      </c>
      <c r="T416" s="10" t="n">
        <v>0.11</v>
      </c>
      <c r="U416" s="10" t="n">
        <v>0.2</v>
      </c>
      <c r="V416" s="10" t="n">
        <v>0.132</v>
      </c>
      <c r="W416" s="10" t="n">
        <v>0.76</v>
      </c>
      <c r="X416" s="10" t="n">
        <v>0.12</v>
      </c>
      <c r="Y416" s="10" t="n">
        <v>0.8512</v>
      </c>
      <c r="Z416" s="10" t="n">
        <v>290.369478528</v>
      </c>
    </row>
    <row r="417" customFormat="false" ht="13.5" hidden="false" customHeight="true" outlineLevel="0" collapsed="false">
      <c r="C417" s="10" t="s">
        <v>35</v>
      </c>
      <c r="D417" s="10" t="s">
        <v>254</v>
      </c>
      <c r="E417" s="10" t="s">
        <v>4</v>
      </c>
      <c r="F417" s="10" t="s">
        <v>1229</v>
      </c>
      <c r="G417" s="10" t="s">
        <v>68</v>
      </c>
      <c r="H417" s="10" t="s">
        <v>166</v>
      </c>
      <c r="I417" s="10" t="s">
        <v>111</v>
      </c>
      <c r="J417" s="10" t="s">
        <v>1103</v>
      </c>
      <c r="P417" s="10" t="s">
        <v>49</v>
      </c>
      <c r="Q417" s="10" t="n">
        <v>2411.8152</v>
      </c>
      <c r="R417" s="10" t="n">
        <v>2411.8152</v>
      </c>
      <c r="T417" s="10" t="n">
        <v>0.1</v>
      </c>
      <c r="U417" s="10" t="n">
        <v>0.2</v>
      </c>
      <c r="V417" s="10" t="n">
        <v>0.12</v>
      </c>
      <c r="W417" s="10" t="n">
        <v>0.74</v>
      </c>
      <c r="X417" s="10" t="n">
        <v>0.12</v>
      </c>
      <c r="Y417" s="10" t="n">
        <v>0.8288</v>
      </c>
      <c r="Z417" s="10" t="n">
        <v>2288.33026176</v>
      </c>
    </row>
    <row r="418" customFormat="false" ht="13.5" hidden="false" customHeight="true" outlineLevel="0" collapsed="false">
      <c r="C418" s="10" t="s">
        <v>35</v>
      </c>
      <c r="D418" s="10" t="s">
        <v>254</v>
      </c>
      <c r="E418" s="10" t="s">
        <v>4</v>
      </c>
      <c r="F418" s="10" t="s">
        <v>1229</v>
      </c>
      <c r="G418" s="10" t="s">
        <v>68</v>
      </c>
      <c r="H418" s="10" t="s">
        <v>166</v>
      </c>
      <c r="I418" s="10" t="s">
        <v>111</v>
      </c>
      <c r="J418" s="10" t="s">
        <v>1104</v>
      </c>
      <c r="P418" s="10" t="s">
        <v>49</v>
      </c>
      <c r="Q418" s="10" t="n">
        <v>1819.6614</v>
      </c>
      <c r="R418" s="10" t="n">
        <v>1819.6614</v>
      </c>
      <c r="T418" s="10" t="n">
        <v>0.09</v>
      </c>
      <c r="U418" s="10" t="n">
        <v>0.2</v>
      </c>
      <c r="V418" s="10" t="n">
        <v>0.108</v>
      </c>
      <c r="W418" s="10" t="n">
        <v>0.73</v>
      </c>
      <c r="X418" s="10" t="n">
        <v>0.12</v>
      </c>
      <c r="Y418" s="10" t="n">
        <v>0.8176</v>
      </c>
      <c r="Z418" s="10" t="n">
        <v>1684.27859184</v>
      </c>
    </row>
    <row r="419" customFormat="false" ht="13.5" hidden="false" customHeight="true" outlineLevel="0" collapsed="false">
      <c r="C419" s="10" t="s">
        <v>35</v>
      </c>
      <c r="D419" s="10" t="s">
        <v>254</v>
      </c>
      <c r="E419" s="10" t="s">
        <v>4</v>
      </c>
      <c r="F419" s="10" t="s">
        <v>1229</v>
      </c>
      <c r="G419" s="10" t="s">
        <v>68</v>
      </c>
      <c r="H419" s="10" t="s">
        <v>166</v>
      </c>
      <c r="I419" s="10" t="s">
        <v>111</v>
      </c>
      <c r="J419" s="10" t="s">
        <v>1105</v>
      </c>
      <c r="P419" s="10" t="s">
        <v>49</v>
      </c>
      <c r="Q419" s="10" t="n">
        <v>7527.2208</v>
      </c>
      <c r="R419" s="10" t="n">
        <v>7527.2208</v>
      </c>
      <c r="T419" s="10" t="n">
        <v>0.08</v>
      </c>
      <c r="U419" s="10" t="n">
        <v>0.2</v>
      </c>
      <c r="V419" s="10" t="n">
        <v>0.096</v>
      </c>
      <c r="W419" s="10" t="n">
        <v>0.72</v>
      </c>
      <c r="X419" s="10" t="n">
        <v>0.12</v>
      </c>
      <c r="Y419" s="10" t="n">
        <v>0.8064</v>
      </c>
      <c r="Z419" s="10" t="n">
        <v>6792.56404992</v>
      </c>
    </row>
    <row r="420" customFormat="false" ht="13.5" hidden="false" customHeight="true" outlineLevel="0" collapsed="false">
      <c r="C420" s="10" t="s">
        <v>35</v>
      </c>
      <c r="D420" s="10" t="s">
        <v>254</v>
      </c>
      <c r="E420" s="10" t="s">
        <v>4</v>
      </c>
      <c r="F420" s="10" t="s">
        <v>1229</v>
      </c>
      <c r="G420" s="10" t="s">
        <v>68</v>
      </c>
      <c r="H420" s="10" t="s">
        <v>166</v>
      </c>
      <c r="I420" s="10" t="s">
        <v>1211</v>
      </c>
      <c r="J420" s="10" t="s">
        <v>1123</v>
      </c>
      <c r="P420" s="10" t="s">
        <v>49</v>
      </c>
      <c r="Q420" s="10" t="n">
        <v>620.0733864</v>
      </c>
      <c r="R420" s="10" t="n">
        <v>620.0733864</v>
      </c>
      <c r="T420" s="10" t="n">
        <v>0.05</v>
      </c>
      <c r="U420" s="10" t="n">
        <v>0.2</v>
      </c>
      <c r="V420" s="10" t="n">
        <v>0.06</v>
      </c>
      <c r="W420" s="10" t="n">
        <v>1.2</v>
      </c>
      <c r="X420" s="10" t="n">
        <v>0.12</v>
      </c>
      <c r="Y420" s="10" t="n">
        <v>1.344</v>
      </c>
      <c r="Z420" s="10" t="n">
        <v>870.5830345056</v>
      </c>
    </row>
    <row r="421" customFormat="false" ht="13.5" hidden="false" customHeight="true" outlineLevel="0" collapsed="false">
      <c r="C421" s="10" t="s">
        <v>35</v>
      </c>
      <c r="D421" s="10" t="s">
        <v>254</v>
      </c>
      <c r="E421" s="10" t="s">
        <v>4</v>
      </c>
      <c r="F421" s="10" t="s">
        <v>1229</v>
      </c>
      <c r="G421" s="10" t="s">
        <v>68</v>
      </c>
      <c r="H421" s="10" t="s">
        <v>170</v>
      </c>
      <c r="I421" s="10" t="s">
        <v>110</v>
      </c>
      <c r="J421" s="10" t="s">
        <v>1109</v>
      </c>
      <c r="P421" s="10" t="s">
        <v>47</v>
      </c>
      <c r="Q421" s="10" t="n">
        <v>87.15</v>
      </c>
      <c r="R421" s="10" t="n">
        <v>87.15</v>
      </c>
      <c r="T421" s="10" t="n">
        <v>10</v>
      </c>
      <c r="U421" s="10" t="n">
        <v>0.2</v>
      </c>
      <c r="V421" s="10" t="n">
        <v>12</v>
      </c>
      <c r="W421" s="10" t="n">
        <v>98</v>
      </c>
      <c r="X421" s="10" t="n">
        <v>0.12</v>
      </c>
      <c r="Y421" s="10" t="n">
        <v>109.76</v>
      </c>
      <c r="Z421" s="10" t="n">
        <v>10611.384</v>
      </c>
    </row>
    <row r="422" customFormat="false" ht="13.5" hidden="false" customHeight="true" outlineLevel="0" collapsed="false">
      <c r="C422" s="10" t="s">
        <v>35</v>
      </c>
      <c r="D422" s="10" t="s">
        <v>254</v>
      </c>
      <c r="E422" s="10" t="s">
        <v>4</v>
      </c>
      <c r="F422" s="10" t="s">
        <v>1229</v>
      </c>
      <c r="G422" s="10" t="s">
        <v>68</v>
      </c>
      <c r="H422" s="10" t="s">
        <v>170</v>
      </c>
      <c r="I422" s="10" t="s">
        <v>153</v>
      </c>
      <c r="J422" s="10" t="s">
        <v>153</v>
      </c>
      <c r="P422" s="10" t="s">
        <v>45</v>
      </c>
      <c r="Q422" s="10" t="n">
        <v>581</v>
      </c>
      <c r="R422" s="10" t="n">
        <v>581</v>
      </c>
      <c r="T422" s="10" t="n">
        <v>6</v>
      </c>
      <c r="U422" s="10" t="n">
        <v>0.2</v>
      </c>
      <c r="V422" s="10" t="n">
        <v>7.2</v>
      </c>
      <c r="W422" s="10" t="n">
        <v>5</v>
      </c>
      <c r="X422" s="10" t="n">
        <v>0.12</v>
      </c>
      <c r="Y422" s="10" t="n">
        <v>5.6</v>
      </c>
      <c r="Z422" s="10" t="n">
        <v>7436.8</v>
      </c>
    </row>
    <row r="423" customFormat="false" ht="13.5" hidden="false" customHeight="true" outlineLevel="0" collapsed="false">
      <c r="C423" s="10" t="s">
        <v>35</v>
      </c>
      <c r="D423" s="10" t="s">
        <v>254</v>
      </c>
      <c r="E423" s="10" t="s">
        <v>4</v>
      </c>
      <c r="F423" s="10" t="s">
        <v>1229</v>
      </c>
      <c r="G423" s="10" t="s">
        <v>68</v>
      </c>
      <c r="H423" s="10" t="s">
        <v>170</v>
      </c>
      <c r="I423" s="10" t="s">
        <v>111</v>
      </c>
      <c r="J423" s="10" t="s">
        <v>1100</v>
      </c>
      <c r="P423" s="10" t="s">
        <v>49</v>
      </c>
      <c r="Q423" s="10" t="n">
        <v>11514.5</v>
      </c>
      <c r="R423" s="10" t="n">
        <v>11514.5</v>
      </c>
      <c r="T423" s="10" t="n">
        <v>0.12</v>
      </c>
      <c r="U423" s="10" t="n">
        <v>0.2</v>
      </c>
      <c r="V423" s="10" t="n">
        <v>0.144</v>
      </c>
      <c r="W423" s="10" t="n">
        <v>0.78</v>
      </c>
      <c r="X423" s="10" t="n">
        <v>0.12</v>
      </c>
      <c r="Y423" s="10" t="n">
        <v>0.8736</v>
      </c>
      <c r="Z423" s="10" t="n">
        <v>11717.1552</v>
      </c>
    </row>
    <row r="424" customFormat="false" ht="13.5" hidden="false" customHeight="true" outlineLevel="0" collapsed="false">
      <c r="C424" s="10" t="s">
        <v>35</v>
      </c>
      <c r="D424" s="10" t="s">
        <v>254</v>
      </c>
      <c r="E424" s="10" t="s">
        <v>4</v>
      </c>
      <c r="F424" s="10" t="s">
        <v>1229</v>
      </c>
      <c r="G424" s="10" t="s">
        <v>68</v>
      </c>
      <c r="H424" s="10" t="s">
        <v>170</v>
      </c>
      <c r="I424" s="10" t="s">
        <v>111</v>
      </c>
      <c r="J424" s="10" t="s">
        <v>1101</v>
      </c>
      <c r="P424" s="10" t="s">
        <v>49</v>
      </c>
      <c r="Q424" s="10" t="n">
        <v>166.5</v>
      </c>
      <c r="R424" s="10" t="n">
        <v>166.5</v>
      </c>
      <c r="T424" s="10" t="n">
        <v>0.11</v>
      </c>
      <c r="U424" s="10" t="n">
        <v>0.2</v>
      </c>
      <c r="V424" s="10" t="n">
        <v>0.132</v>
      </c>
      <c r="W424" s="10" t="n">
        <v>0.76</v>
      </c>
      <c r="X424" s="10" t="n">
        <v>0.12</v>
      </c>
      <c r="Y424" s="10" t="n">
        <v>0.8512</v>
      </c>
      <c r="Z424" s="10" t="n">
        <v>163.7028</v>
      </c>
    </row>
    <row r="425" customFormat="false" ht="13.5" hidden="false" customHeight="true" outlineLevel="0" collapsed="false">
      <c r="C425" s="10" t="s">
        <v>35</v>
      </c>
      <c r="D425" s="10" t="s">
        <v>254</v>
      </c>
      <c r="E425" s="10" t="s">
        <v>4</v>
      </c>
      <c r="F425" s="10" t="s">
        <v>1229</v>
      </c>
      <c r="G425" s="10" t="s">
        <v>68</v>
      </c>
      <c r="H425" s="10" t="s">
        <v>1218</v>
      </c>
      <c r="I425" s="10" t="s">
        <v>110</v>
      </c>
      <c r="J425" s="10" t="s">
        <v>1109</v>
      </c>
      <c r="P425" s="10" t="s">
        <v>47</v>
      </c>
      <c r="Q425" s="10" t="n">
        <v>27.59</v>
      </c>
      <c r="R425" s="10" t="n">
        <v>27.59</v>
      </c>
      <c r="T425" s="10" t="n">
        <v>10</v>
      </c>
      <c r="U425" s="10" t="n">
        <v>0.2</v>
      </c>
      <c r="V425" s="10" t="n">
        <v>12</v>
      </c>
      <c r="W425" s="10" t="n">
        <v>98</v>
      </c>
      <c r="X425" s="10" t="n">
        <v>0.12</v>
      </c>
      <c r="Y425" s="10" t="n">
        <v>109.76</v>
      </c>
      <c r="Z425" s="10" t="n">
        <v>3359.3584</v>
      </c>
    </row>
    <row r="426" customFormat="false" ht="13.5" hidden="false" customHeight="true" outlineLevel="0" collapsed="false">
      <c r="C426" s="10" t="s">
        <v>35</v>
      </c>
      <c r="D426" s="10" t="s">
        <v>254</v>
      </c>
      <c r="E426" s="10" t="s">
        <v>4</v>
      </c>
      <c r="F426" s="10" t="s">
        <v>1229</v>
      </c>
      <c r="G426" s="10" t="s">
        <v>68</v>
      </c>
      <c r="H426" s="10" t="s">
        <v>1218</v>
      </c>
      <c r="I426" s="10" t="s">
        <v>153</v>
      </c>
      <c r="J426" s="10" t="s">
        <v>153</v>
      </c>
      <c r="P426" s="10" t="s">
        <v>45</v>
      </c>
      <c r="Q426" s="10" t="n">
        <v>165.3</v>
      </c>
      <c r="R426" s="10" t="n">
        <v>165.3</v>
      </c>
      <c r="T426" s="10" t="n">
        <v>6</v>
      </c>
      <c r="U426" s="10" t="n">
        <v>0.2</v>
      </c>
      <c r="V426" s="10" t="n">
        <v>7.2</v>
      </c>
      <c r="W426" s="10" t="n">
        <v>5</v>
      </c>
      <c r="X426" s="10" t="n">
        <v>0.12</v>
      </c>
      <c r="Y426" s="10" t="n">
        <v>5.6</v>
      </c>
      <c r="Z426" s="10" t="n">
        <v>2115.84</v>
      </c>
    </row>
    <row r="427" customFormat="false" ht="13.5" hidden="false" customHeight="true" outlineLevel="0" collapsed="false">
      <c r="C427" s="10" t="s">
        <v>35</v>
      </c>
      <c r="D427" s="10" t="s">
        <v>254</v>
      </c>
      <c r="E427" s="10" t="s">
        <v>4</v>
      </c>
      <c r="F427" s="10" t="s">
        <v>1229</v>
      </c>
      <c r="G427" s="10" t="s">
        <v>68</v>
      </c>
      <c r="H427" s="10" t="s">
        <v>1218</v>
      </c>
      <c r="I427" s="10" t="s">
        <v>111</v>
      </c>
      <c r="J427" s="10" t="s">
        <v>1100</v>
      </c>
      <c r="P427" s="10" t="s">
        <v>49</v>
      </c>
      <c r="Q427" s="10" t="n">
        <v>293.692</v>
      </c>
      <c r="R427" s="10" t="n">
        <v>293.692</v>
      </c>
      <c r="T427" s="10" t="n">
        <v>0.12</v>
      </c>
      <c r="U427" s="10" t="n">
        <v>0.2</v>
      </c>
      <c r="V427" s="10" t="n">
        <v>0.144</v>
      </c>
      <c r="W427" s="10" t="n">
        <v>0.78</v>
      </c>
      <c r="X427" s="10" t="n">
        <v>0.12</v>
      </c>
      <c r="Y427" s="10" t="n">
        <v>0.8736</v>
      </c>
      <c r="Z427" s="10" t="n">
        <v>298.8609792</v>
      </c>
    </row>
    <row r="428" customFormat="false" ht="13.5" hidden="false" customHeight="true" outlineLevel="0" collapsed="false">
      <c r="C428" s="10" t="s">
        <v>35</v>
      </c>
      <c r="D428" s="10" t="s">
        <v>254</v>
      </c>
      <c r="E428" s="10" t="s">
        <v>4</v>
      </c>
      <c r="F428" s="10" t="s">
        <v>1229</v>
      </c>
      <c r="G428" s="10" t="s">
        <v>68</v>
      </c>
      <c r="H428" s="10" t="s">
        <v>1218</v>
      </c>
      <c r="I428" s="10" t="s">
        <v>111</v>
      </c>
      <c r="J428" s="10" t="s">
        <v>1101</v>
      </c>
      <c r="P428" s="10" t="s">
        <v>49</v>
      </c>
      <c r="Q428" s="10" t="n">
        <v>1301.2752</v>
      </c>
      <c r="R428" s="10" t="n">
        <v>1301.2752</v>
      </c>
      <c r="T428" s="10" t="n">
        <v>0.11</v>
      </c>
      <c r="U428" s="10" t="n">
        <v>0.2</v>
      </c>
      <c r="V428" s="10" t="n">
        <v>0.132</v>
      </c>
      <c r="W428" s="10" t="n">
        <v>0.76</v>
      </c>
      <c r="X428" s="10" t="n">
        <v>0.12</v>
      </c>
      <c r="Y428" s="10" t="n">
        <v>0.8512</v>
      </c>
      <c r="Z428" s="10" t="n">
        <v>1279.41377664</v>
      </c>
    </row>
    <row r="429" customFormat="false" ht="13.5" hidden="false" customHeight="true" outlineLevel="0" collapsed="false">
      <c r="C429" s="10" t="s">
        <v>35</v>
      </c>
      <c r="D429" s="10" t="s">
        <v>254</v>
      </c>
      <c r="E429" s="10" t="s">
        <v>4</v>
      </c>
      <c r="F429" s="10" t="s">
        <v>1229</v>
      </c>
      <c r="G429" s="10" t="s">
        <v>68</v>
      </c>
      <c r="H429" s="10" t="s">
        <v>1218</v>
      </c>
      <c r="I429" s="10" t="s">
        <v>111</v>
      </c>
      <c r="J429" s="10" t="s">
        <v>1102</v>
      </c>
      <c r="P429" s="10" t="s">
        <v>49</v>
      </c>
      <c r="Q429" s="10" t="n">
        <v>1914.96</v>
      </c>
      <c r="R429" s="10" t="n">
        <v>1914.96</v>
      </c>
      <c r="T429" s="10" t="n">
        <v>0.1</v>
      </c>
      <c r="U429" s="10" t="n">
        <v>0.2</v>
      </c>
      <c r="V429" s="10" t="n">
        <v>0.12</v>
      </c>
      <c r="W429" s="10" t="n">
        <v>0.75</v>
      </c>
      <c r="X429" s="10" t="n">
        <v>0.12</v>
      </c>
      <c r="Y429" s="10" t="n">
        <v>0.84</v>
      </c>
      <c r="Z429" s="10" t="n">
        <v>1838.3616</v>
      </c>
    </row>
    <row r="430" customFormat="false" ht="13.5" hidden="false" customHeight="true" outlineLevel="0" collapsed="false">
      <c r="C430" s="10" t="s">
        <v>35</v>
      </c>
      <c r="D430" s="10" t="s">
        <v>254</v>
      </c>
      <c r="E430" s="10" t="s">
        <v>4</v>
      </c>
      <c r="F430" s="10" t="s">
        <v>1229</v>
      </c>
      <c r="G430" s="10" t="s">
        <v>68</v>
      </c>
      <c r="H430" s="10" t="s">
        <v>1218</v>
      </c>
      <c r="I430" s="10" t="s">
        <v>111</v>
      </c>
      <c r="J430" s="10" t="s">
        <v>1104</v>
      </c>
      <c r="P430" s="10" t="s">
        <v>49</v>
      </c>
      <c r="Q430" s="10" t="n">
        <v>948.48</v>
      </c>
      <c r="R430" s="10" t="n">
        <v>948.48</v>
      </c>
      <c r="T430" s="10" t="n">
        <v>0.09</v>
      </c>
      <c r="U430" s="10" t="n">
        <v>0.2</v>
      </c>
      <c r="V430" s="10" t="n">
        <v>0.108</v>
      </c>
      <c r="W430" s="10" t="n">
        <v>0.73</v>
      </c>
      <c r="X430" s="10" t="n">
        <v>0.12</v>
      </c>
      <c r="Y430" s="10" t="n">
        <v>0.8176</v>
      </c>
      <c r="Z430" s="10" t="n">
        <v>877.913088</v>
      </c>
    </row>
    <row r="431" customFormat="false" ht="13.5" hidden="false" customHeight="true" outlineLevel="0" collapsed="false">
      <c r="C431" s="10" t="s">
        <v>35</v>
      </c>
      <c r="D431" s="10" t="s">
        <v>254</v>
      </c>
      <c r="E431" s="10" t="s">
        <v>4</v>
      </c>
      <c r="F431" s="10" t="s">
        <v>1229</v>
      </c>
      <c r="G431" s="10" t="s">
        <v>68</v>
      </c>
      <c r="H431" s="10" t="s">
        <v>1218</v>
      </c>
      <c r="I431" s="10" t="s">
        <v>1211</v>
      </c>
      <c r="J431" s="10" t="s">
        <v>1123</v>
      </c>
      <c r="P431" s="10" t="s">
        <v>49</v>
      </c>
      <c r="Q431" s="10" t="n">
        <v>178.336288</v>
      </c>
      <c r="R431" s="10" t="n">
        <v>178.336288</v>
      </c>
      <c r="T431" s="10" t="n">
        <v>0.05</v>
      </c>
      <c r="U431" s="10" t="n">
        <v>0.2</v>
      </c>
      <c r="V431" s="10" t="n">
        <v>0.06</v>
      </c>
      <c r="W431" s="10" t="n">
        <v>1.2</v>
      </c>
      <c r="X431" s="10" t="n">
        <v>0.12</v>
      </c>
      <c r="Y431" s="10" t="n">
        <v>1.344</v>
      </c>
      <c r="Z431" s="10" t="n">
        <v>250.384148352</v>
      </c>
    </row>
    <row r="432" customFormat="false" ht="13.5" hidden="false" customHeight="true" outlineLevel="0" collapsed="false">
      <c r="C432" s="10" t="s">
        <v>35</v>
      </c>
      <c r="D432" s="10" t="s">
        <v>254</v>
      </c>
      <c r="E432" s="10" t="s">
        <v>4</v>
      </c>
      <c r="F432" s="10" t="s">
        <v>1229</v>
      </c>
      <c r="G432" s="10" t="s">
        <v>68</v>
      </c>
      <c r="H432" s="10" t="s">
        <v>180</v>
      </c>
      <c r="I432" s="10" t="s">
        <v>110</v>
      </c>
      <c r="J432" s="10" t="s">
        <v>1109</v>
      </c>
      <c r="P432" s="10" t="s">
        <v>47</v>
      </c>
      <c r="Q432" s="10" t="n">
        <v>6.0192</v>
      </c>
      <c r="R432" s="10" t="n">
        <v>6.0192</v>
      </c>
      <c r="T432" s="10" t="n">
        <v>10</v>
      </c>
      <c r="U432" s="10" t="n">
        <v>0.2</v>
      </c>
      <c r="V432" s="10" t="n">
        <v>12</v>
      </c>
      <c r="W432" s="10" t="n">
        <v>98</v>
      </c>
      <c r="X432" s="10" t="n">
        <v>0.12</v>
      </c>
      <c r="Y432" s="10" t="n">
        <v>109.76</v>
      </c>
      <c r="Z432" s="10" t="n">
        <v>732.897792</v>
      </c>
    </row>
    <row r="433" customFormat="false" ht="13.5" hidden="false" customHeight="true" outlineLevel="0" collapsed="false">
      <c r="C433" s="10" t="s">
        <v>35</v>
      </c>
      <c r="D433" s="10" t="s">
        <v>254</v>
      </c>
      <c r="E433" s="10" t="s">
        <v>4</v>
      </c>
      <c r="F433" s="10" t="s">
        <v>1229</v>
      </c>
      <c r="G433" s="10" t="s">
        <v>68</v>
      </c>
      <c r="H433" s="10" t="s">
        <v>180</v>
      </c>
      <c r="I433" s="10" t="s">
        <v>153</v>
      </c>
      <c r="J433" s="10" t="s">
        <v>153</v>
      </c>
      <c r="P433" s="10" t="s">
        <v>45</v>
      </c>
      <c r="Q433" s="10" t="n">
        <v>90.288</v>
      </c>
      <c r="R433" s="10" t="n">
        <v>90.288</v>
      </c>
      <c r="T433" s="10" t="n">
        <v>6</v>
      </c>
      <c r="U433" s="10" t="n">
        <v>0.2</v>
      </c>
      <c r="V433" s="10" t="n">
        <v>7.2</v>
      </c>
      <c r="W433" s="10" t="n">
        <v>5</v>
      </c>
      <c r="X433" s="10" t="n">
        <v>0.12</v>
      </c>
      <c r="Y433" s="10" t="n">
        <v>5.6</v>
      </c>
      <c r="Z433" s="10" t="n">
        <v>1155.6864</v>
      </c>
    </row>
    <row r="434" customFormat="false" ht="13.5" hidden="false" customHeight="true" outlineLevel="0" collapsed="false">
      <c r="C434" s="10" t="s">
        <v>35</v>
      </c>
      <c r="D434" s="10" t="s">
        <v>254</v>
      </c>
      <c r="E434" s="10" t="s">
        <v>4</v>
      </c>
      <c r="F434" s="10" t="s">
        <v>1229</v>
      </c>
      <c r="G434" s="10" t="s">
        <v>68</v>
      </c>
      <c r="H434" s="10" t="s">
        <v>180</v>
      </c>
      <c r="I434" s="10" t="s">
        <v>111</v>
      </c>
      <c r="J434" s="10" t="s">
        <v>1117</v>
      </c>
      <c r="P434" s="10" t="s">
        <v>49</v>
      </c>
      <c r="Q434" s="10" t="n">
        <v>60.192</v>
      </c>
      <c r="R434" s="10" t="n">
        <v>60.192</v>
      </c>
      <c r="T434" s="10" t="n">
        <v>0.12</v>
      </c>
      <c r="U434" s="10" t="n">
        <v>0.2</v>
      </c>
      <c r="V434" s="10" t="n">
        <v>0.144</v>
      </c>
      <c r="W434" s="10" t="n">
        <v>0.77</v>
      </c>
      <c r="X434" s="10" t="n">
        <v>0.12</v>
      </c>
      <c r="Y434" s="10" t="n">
        <v>0.8624</v>
      </c>
      <c r="Z434" s="10" t="n">
        <v>60.5772288</v>
      </c>
    </row>
    <row r="435" customFormat="false" ht="13.5" hidden="false" customHeight="true" outlineLevel="0" collapsed="false">
      <c r="C435" s="10" t="s">
        <v>35</v>
      </c>
      <c r="D435" s="10" t="s">
        <v>254</v>
      </c>
      <c r="E435" s="10" t="s">
        <v>4</v>
      </c>
      <c r="F435" s="10" t="s">
        <v>1229</v>
      </c>
      <c r="G435" s="10" t="s">
        <v>68</v>
      </c>
      <c r="H435" s="10" t="s">
        <v>180</v>
      </c>
      <c r="I435" s="10" t="s">
        <v>111</v>
      </c>
      <c r="J435" s="10" t="s">
        <v>1101</v>
      </c>
      <c r="P435" s="10" t="s">
        <v>49</v>
      </c>
      <c r="Q435" s="10" t="n">
        <v>722.304</v>
      </c>
      <c r="R435" s="10" t="n">
        <v>722.304</v>
      </c>
      <c r="T435" s="10" t="n">
        <v>0.11</v>
      </c>
      <c r="U435" s="10" t="n">
        <v>0.2</v>
      </c>
      <c r="V435" s="10" t="n">
        <v>0.132</v>
      </c>
      <c r="W435" s="10" t="n">
        <v>0.76</v>
      </c>
      <c r="X435" s="10" t="n">
        <v>0.12</v>
      </c>
      <c r="Y435" s="10" t="n">
        <v>0.8512</v>
      </c>
      <c r="Z435" s="10" t="n">
        <v>710.1692928</v>
      </c>
    </row>
    <row r="436" customFormat="false" ht="13.5" hidden="false" customHeight="true" outlineLevel="0" collapsed="false">
      <c r="C436" s="10" t="s">
        <v>35</v>
      </c>
      <c r="D436" s="10" t="s">
        <v>254</v>
      </c>
      <c r="E436" s="10" t="s">
        <v>4</v>
      </c>
      <c r="F436" s="10" t="s">
        <v>1229</v>
      </c>
      <c r="G436" s="10" t="s">
        <v>68</v>
      </c>
      <c r="H436" s="10" t="s">
        <v>180</v>
      </c>
      <c r="I436" s="10" t="s">
        <v>111</v>
      </c>
      <c r="J436" s="10" t="s">
        <v>1103</v>
      </c>
      <c r="P436" s="10" t="s">
        <v>49</v>
      </c>
      <c r="Q436" s="10" t="n">
        <v>150.48</v>
      </c>
      <c r="R436" s="10" t="n">
        <v>150.48</v>
      </c>
      <c r="T436" s="10" t="n">
        <v>0.1</v>
      </c>
      <c r="U436" s="10" t="n">
        <v>0.2</v>
      </c>
      <c r="V436" s="10" t="n">
        <v>0.12</v>
      </c>
      <c r="W436" s="10" t="n">
        <v>0.74</v>
      </c>
      <c r="X436" s="10" t="n">
        <v>0.12</v>
      </c>
      <c r="Y436" s="10" t="n">
        <v>0.8288</v>
      </c>
      <c r="Z436" s="10" t="n">
        <v>142.775424</v>
      </c>
    </row>
    <row r="437" customFormat="false" ht="13.5" hidden="false" customHeight="true" outlineLevel="0" collapsed="false">
      <c r="C437" s="10" t="s">
        <v>35</v>
      </c>
      <c r="D437" s="10" t="s">
        <v>254</v>
      </c>
      <c r="E437" s="10" t="s">
        <v>4</v>
      </c>
      <c r="F437" s="10" t="s">
        <v>1229</v>
      </c>
      <c r="G437" s="10" t="s">
        <v>68</v>
      </c>
      <c r="H437" s="10" t="s">
        <v>180</v>
      </c>
      <c r="I437" s="10" t="s">
        <v>1211</v>
      </c>
      <c r="J437" s="10" t="s">
        <v>1123</v>
      </c>
      <c r="P437" s="10" t="s">
        <v>49</v>
      </c>
      <c r="Q437" s="10" t="n">
        <v>37.31904</v>
      </c>
      <c r="R437" s="10" t="n">
        <v>37.31904</v>
      </c>
      <c r="T437" s="10" t="n">
        <v>0.05</v>
      </c>
      <c r="U437" s="10" t="n">
        <v>0.2</v>
      </c>
      <c r="V437" s="10" t="n">
        <v>0.06</v>
      </c>
      <c r="W437" s="10" t="n">
        <v>1.2</v>
      </c>
      <c r="X437" s="10" t="n">
        <v>0.12</v>
      </c>
      <c r="Y437" s="10" t="n">
        <v>1.344</v>
      </c>
      <c r="Z437" s="10" t="n">
        <v>52.39593216</v>
      </c>
    </row>
    <row r="438" customFormat="false" ht="13.5" hidden="false" customHeight="true" outlineLevel="0" collapsed="false">
      <c r="C438" s="10" t="s">
        <v>35</v>
      </c>
      <c r="D438" s="10" t="s">
        <v>254</v>
      </c>
      <c r="E438" s="10" t="s">
        <v>4</v>
      </c>
      <c r="F438" s="10" t="s">
        <v>1229</v>
      </c>
      <c r="G438" s="10" t="s">
        <v>68</v>
      </c>
      <c r="H438" s="10" t="s">
        <v>175</v>
      </c>
      <c r="I438" s="10" t="s">
        <v>110</v>
      </c>
      <c r="J438" s="10" t="s">
        <v>1109</v>
      </c>
      <c r="P438" s="10" t="s">
        <v>47</v>
      </c>
      <c r="Q438" s="10" t="n">
        <v>38.304</v>
      </c>
      <c r="R438" s="10" t="n">
        <v>45.6</v>
      </c>
      <c r="T438" s="10" t="n">
        <v>10</v>
      </c>
      <c r="U438" s="10" t="n">
        <v>0.2</v>
      </c>
      <c r="V438" s="10" t="n">
        <v>12</v>
      </c>
      <c r="W438" s="10" t="n">
        <v>98</v>
      </c>
      <c r="X438" s="10" t="n">
        <v>0.12</v>
      </c>
      <c r="Y438" s="10" t="n">
        <v>109.76</v>
      </c>
      <c r="Z438" s="10" t="n">
        <v>4663.89504</v>
      </c>
    </row>
    <row r="439" customFormat="false" ht="13.5" hidden="false" customHeight="true" outlineLevel="0" collapsed="false">
      <c r="C439" s="10" t="s">
        <v>35</v>
      </c>
      <c r="D439" s="10" t="s">
        <v>254</v>
      </c>
      <c r="E439" s="10" t="s">
        <v>4</v>
      </c>
      <c r="F439" s="10" t="s">
        <v>1229</v>
      </c>
      <c r="G439" s="10" t="s">
        <v>68</v>
      </c>
      <c r="H439" s="10" t="s">
        <v>175</v>
      </c>
      <c r="I439" s="10" t="s">
        <v>153</v>
      </c>
      <c r="J439" s="10" t="s">
        <v>153</v>
      </c>
      <c r="P439" s="10" t="s">
        <v>45</v>
      </c>
      <c r="Q439" s="10" t="n">
        <v>203.28</v>
      </c>
      <c r="R439" s="10" t="n">
        <v>242</v>
      </c>
      <c r="T439" s="10" t="n">
        <v>6</v>
      </c>
      <c r="U439" s="10" t="n">
        <v>0.2</v>
      </c>
      <c r="V439" s="10" t="n">
        <v>7.2</v>
      </c>
      <c r="W439" s="10" t="n">
        <v>5</v>
      </c>
      <c r="X439" s="10" t="n">
        <v>0.12</v>
      </c>
      <c r="Y439" s="10" t="n">
        <v>5.6</v>
      </c>
      <c r="Z439" s="10" t="n">
        <v>2601.984</v>
      </c>
    </row>
    <row r="440" customFormat="false" ht="13.5" hidden="false" customHeight="true" outlineLevel="0" collapsed="false">
      <c r="C440" s="10" t="s">
        <v>35</v>
      </c>
      <c r="D440" s="10" t="s">
        <v>254</v>
      </c>
      <c r="E440" s="10" t="s">
        <v>4</v>
      </c>
      <c r="F440" s="10" t="s">
        <v>1229</v>
      </c>
      <c r="G440" s="10" t="s">
        <v>68</v>
      </c>
      <c r="H440" s="10" t="s">
        <v>175</v>
      </c>
      <c r="I440" s="10" t="s">
        <v>111</v>
      </c>
      <c r="J440" s="10" t="s">
        <v>1100</v>
      </c>
      <c r="P440" s="10" t="s">
        <v>49</v>
      </c>
      <c r="Q440" s="10" t="n">
        <v>1889.9944</v>
      </c>
      <c r="R440" s="10" t="n">
        <v>2294.9932</v>
      </c>
      <c r="T440" s="10" t="n">
        <v>0.12</v>
      </c>
      <c r="U440" s="10" t="n">
        <v>0.2</v>
      </c>
      <c r="V440" s="10" t="n">
        <v>0.144</v>
      </c>
      <c r="W440" s="10" t="n">
        <v>0.78</v>
      </c>
      <c r="X440" s="10" t="n">
        <v>0.12</v>
      </c>
      <c r="Y440" s="10" t="n">
        <v>0.8736</v>
      </c>
      <c r="Z440" s="10" t="n">
        <v>1923.25830144</v>
      </c>
    </row>
    <row r="441" customFormat="false" ht="13.5" hidden="false" customHeight="true" outlineLevel="0" collapsed="false">
      <c r="C441" s="10" t="s">
        <v>35</v>
      </c>
      <c r="D441" s="10" t="s">
        <v>254</v>
      </c>
      <c r="E441" s="10" t="s">
        <v>4</v>
      </c>
      <c r="F441" s="10" t="s">
        <v>1229</v>
      </c>
      <c r="G441" s="10" t="s">
        <v>68</v>
      </c>
      <c r="H441" s="10" t="s">
        <v>175</v>
      </c>
      <c r="I441" s="10" t="s">
        <v>111</v>
      </c>
      <c r="J441" s="10" t="s">
        <v>1104</v>
      </c>
      <c r="P441" s="10" t="s">
        <v>49</v>
      </c>
      <c r="Q441" s="10" t="n">
        <v>4821.5232</v>
      </c>
      <c r="R441" s="10" t="n">
        <v>5563.296</v>
      </c>
      <c r="T441" s="10" t="n">
        <v>0.09</v>
      </c>
      <c r="U441" s="10" t="n">
        <v>0.2</v>
      </c>
      <c r="V441" s="10" t="n">
        <v>0.108</v>
      </c>
      <c r="W441" s="10" t="n">
        <v>0.73</v>
      </c>
      <c r="X441" s="10" t="n">
        <v>0.12</v>
      </c>
      <c r="Y441" s="10" t="n">
        <v>0.8176</v>
      </c>
      <c r="Z441" s="10" t="n">
        <v>4462.80187392</v>
      </c>
    </row>
    <row r="442" customFormat="false" ht="13.5" hidden="false" customHeight="true" outlineLevel="0" collapsed="false">
      <c r="C442" s="10" t="s">
        <v>35</v>
      </c>
      <c r="D442" s="10" t="s">
        <v>254</v>
      </c>
      <c r="E442" s="10" t="s">
        <v>4</v>
      </c>
      <c r="F442" s="10" t="s">
        <v>1229</v>
      </c>
      <c r="G442" s="10" t="s">
        <v>68</v>
      </c>
      <c r="H442" s="10" t="s">
        <v>175</v>
      </c>
      <c r="I442" s="10" t="s">
        <v>1211</v>
      </c>
      <c r="J442" s="10" t="s">
        <v>1123</v>
      </c>
      <c r="P442" s="10" t="s">
        <v>49</v>
      </c>
      <c r="Q442" s="10" t="n">
        <v>314.331568</v>
      </c>
      <c r="R442" s="10" t="n">
        <v>314.331568</v>
      </c>
      <c r="T442" s="10" t="n">
        <v>0.05</v>
      </c>
      <c r="U442" s="10" t="n">
        <v>0.2</v>
      </c>
      <c r="V442" s="10" t="n">
        <v>0.06</v>
      </c>
      <c r="W442" s="10" t="n">
        <v>1.2</v>
      </c>
      <c r="X442" s="10" t="n">
        <v>0.12</v>
      </c>
      <c r="Y442" s="10" t="n">
        <v>1.344</v>
      </c>
      <c r="Z442" s="10" t="n">
        <v>441.321521472</v>
      </c>
    </row>
    <row r="443" customFormat="false" ht="13.5" hidden="false" customHeight="true" outlineLevel="0" collapsed="false">
      <c r="C443" s="10" t="s">
        <v>35</v>
      </c>
      <c r="D443" s="10" t="s">
        <v>254</v>
      </c>
      <c r="E443" s="10" t="s">
        <v>4</v>
      </c>
      <c r="F443" s="10" t="s">
        <v>1230</v>
      </c>
      <c r="G443" s="10" t="s">
        <v>68</v>
      </c>
      <c r="H443" s="10" t="s">
        <v>166</v>
      </c>
      <c r="I443" s="10" t="s">
        <v>110</v>
      </c>
      <c r="J443" s="10" t="s">
        <v>1109</v>
      </c>
      <c r="P443" s="10" t="s">
        <v>47</v>
      </c>
      <c r="Q443" s="10" t="n">
        <v>32.90375</v>
      </c>
      <c r="R443" s="10" t="n">
        <v>32.90375</v>
      </c>
      <c r="T443" s="10" t="n">
        <v>10</v>
      </c>
      <c r="U443" s="10" t="n">
        <v>0.2</v>
      </c>
      <c r="V443" s="10" t="n">
        <v>12</v>
      </c>
      <c r="W443" s="10" t="n">
        <v>98</v>
      </c>
      <c r="X443" s="10" t="n">
        <v>0.12</v>
      </c>
      <c r="Y443" s="10" t="n">
        <v>109.76</v>
      </c>
      <c r="Z443" s="10" t="n">
        <v>4006.3606</v>
      </c>
    </row>
    <row r="444" customFormat="false" ht="13.5" hidden="false" customHeight="true" outlineLevel="0" collapsed="false">
      <c r="C444" s="10" t="s">
        <v>35</v>
      </c>
      <c r="D444" s="10" t="s">
        <v>254</v>
      </c>
      <c r="E444" s="10" t="s">
        <v>4</v>
      </c>
      <c r="F444" s="10" t="s">
        <v>1230</v>
      </c>
      <c r="G444" s="10" t="s">
        <v>68</v>
      </c>
      <c r="H444" s="10" t="s">
        <v>166</v>
      </c>
      <c r="I444" s="10" t="s">
        <v>153</v>
      </c>
      <c r="J444" s="10" t="s">
        <v>153</v>
      </c>
      <c r="P444" s="10" t="s">
        <v>45</v>
      </c>
      <c r="Q444" s="10" t="n">
        <v>314.89</v>
      </c>
      <c r="R444" s="10" t="n">
        <v>314.89</v>
      </c>
      <c r="T444" s="10" t="n">
        <v>6</v>
      </c>
      <c r="U444" s="10" t="n">
        <v>0.2</v>
      </c>
      <c r="V444" s="10" t="n">
        <v>7.2</v>
      </c>
      <c r="W444" s="10" t="n">
        <v>5</v>
      </c>
      <c r="X444" s="10" t="n">
        <v>0.12</v>
      </c>
      <c r="Y444" s="10" t="n">
        <v>5.6</v>
      </c>
      <c r="Z444" s="10" t="n">
        <v>4030.592</v>
      </c>
    </row>
    <row r="445" customFormat="false" ht="13.5" hidden="false" customHeight="true" outlineLevel="0" collapsed="false">
      <c r="C445" s="10" t="s">
        <v>35</v>
      </c>
      <c r="D445" s="10" t="s">
        <v>254</v>
      </c>
      <c r="E445" s="10" t="s">
        <v>4</v>
      </c>
      <c r="F445" s="10" t="s">
        <v>1230</v>
      </c>
      <c r="G445" s="10" t="s">
        <v>68</v>
      </c>
      <c r="H445" s="10" t="s">
        <v>166</v>
      </c>
      <c r="I445" s="10" t="s">
        <v>111</v>
      </c>
      <c r="J445" s="10" t="s">
        <v>1117</v>
      </c>
      <c r="P445" s="10" t="s">
        <v>49</v>
      </c>
      <c r="Q445" s="10" t="n">
        <v>492.8652</v>
      </c>
      <c r="R445" s="10" t="n">
        <v>492.8652</v>
      </c>
      <c r="T445" s="10" t="n">
        <v>0.12</v>
      </c>
      <c r="U445" s="10" t="n">
        <v>0.2</v>
      </c>
      <c r="V445" s="10" t="n">
        <v>0.144</v>
      </c>
      <c r="W445" s="10" t="n">
        <v>0.77</v>
      </c>
      <c r="X445" s="10" t="n">
        <v>0.12</v>
      </c>
      <c r="Y445" s="10" t="n">
        <v>0.8624</v>
      </c>
      <c r="Z445" s="10" t="n">
        <v>496.01953728</v>
      </c>
    </row>
    <row r="446" customFormat="false" ht="13.5" hidden="false" customHeight="true" outlineLevel="0" collapsed="false">
      <c r="C446" s="10" t="s">
        <v>35</v>
      </c>
      <c r="D446" s="10" t="s">
        <v>254</v>
      </c>
      <c r="E446" s="10" t="s">
        <v>4</v>
      </c>
      <c r="F446" s="10" t="s">
        <v>1230</v>
      </c>
      <c r="G446" s="10" t="s">
        <v>68</v>
      </c>
      <c r="H446" s="10" t="s">
        <v>166</v>
      </c>
      <c r="I446" s="10" t="s">
        <v>111</v>
      </c>
      <c r="J446" s="10" t="s">
        <v>1100</v>
      </c>
      <c r="P446" s="10" t="s">
        <v>49</v>
      </c>
      <c r="Q446" s="10" t="n">
        <v>1927.44333333333</v>
      </c>
      <c r="R446" s="10" t="n">
        <v>1927.44333333333</v>
      </c>
      <c r="T446" s="10" t="n">
        <v>0.12</v>
      </c>
      <c r="U446" s="10" t="n">
        <v>0.2</v>
      </c>
      <c r="V446" s="10" t="n">
        <v>0.144</v>
      </c>
      <c r="W446" s="10" t="n">
        <v>0.78</v>
      </c>
      <c r="X446" s="10" t="n">
        <v>0.12</v>
      </c>
      <c r="Y446" s="10" t="n">
        <v>0.8736</v>
      </c>
      <c r="Z446" s="10" t="n">
        <v>1961.366336</v>
      </c>
    </row>
    <row r="447" customFormat="false" ht="13.5" hidden="false" customHeight="true" outlineLevel="0" collapsed="false">
      <c r="C447" s="10" t="s">
        <v>35</v>
      </c>
      <c r="D447" s="10" t="s">
        <v>254</v>
      </c>
      <c r="E447" s="10" t="s">
        <v>4</v>
      </c>
      <c r="F447" s="10" t="s">
        <v>1230</v>
      </c>
      <c r="G447" s="10" t="s">
        <v>68</v>
      </c>
      <c r="H447" s="10" t="s">
        <v>166</v>
      </c>
      <c r="I447" s="10" t="s">
        <v>111</v>
      </c>
      <c r="J447" s="10" t="s">
        <v>1101</v>
      </c>
      <c r="P447" s="10" t="s">
        <v>49</v>
      </c>
      <c r="Q447" s="10" t="n">
        <v>288.8664</v>
      </c>
      <c r="R447" s="10" t="n">
        <v>288.8664</v>
      </c>
      <c r="T447" s="10" t="n">
        <v>0.11</v>
      </c>
      <c r="U447" s="10" t="n">
        <v>0.2</v>
      </c>
      <c r="V447" s="10" t="n">
        <v>0.132</v>
      </c>
      <c r="W447" s="10" t="n">
        <v>0.76</v>
      </c>
      <c r="X447" s="10" t="n">
        <v>0.12</v>
      </c>
      <c r="Y447" s="10" t="n">
        <v>0.8512</v>
      </c>
      <c r="Z447" s="10" t="n">
        <v>284.01344448</v>
      </c>
    </row>
    <row r="448" customFormat="false" ht="13.5" hidden="false" customHeight="true" outlineLevel="0" collapsed="false">
      <c r="C448" s="10" t="s">
        <v>35</v>
      </c>
      <c r="D448" s="10" t="s">
        <v>254</v>
      </c>
      <c r="E448" s="10" t="s">
        <v>4</v>
      </c>
      <c r="F448" s="10" t="s">
        <v>1230</v>
      </c>
      <c r="G448" s="10" t="s">
        <v>68</v>
      </c>
      <c r="H448" s="10" t="s">
        <v>166</v>
      </c>
      <c r="I448" s="10" t="s">
        <v>111</v>
      </c>
      <c r="J448" s="10" t="s">
        <v>1103</v>
      </c>
      <c r="P448" s="10" t="s">
        <v>49</v>
      </c>
      <c r="Q448" s="10" t="n">
        <v>1575.4752</v>
      </c>
      <c r="R448" s="10" t="n">
        <v>1575.4752</v>
      </c>
      <c r="T448" s="10" t="n">
        <v>0.1</v>
      </c>
      <c r="U448" s="10" t="n">
        <v>0.2</v>
      </c>
      <c r="V448" s="10" t="n">
        <v>0.12</v>
      </c>
      <c r="W448" s="10" t="n">
        <v>0.74</v>
      </c>
      <c r="X448" s="10" t="n">
        <v>0.12</v>
      </c>
      <c r="Y448" s="10" t="n">
        <v>0.8288</v>
      </c>
      <c r="Z448" s="10" t="n">
        <v>1494.81086976</v>
      </c>
    </row>
    <row r="449" customFormat="false" ht="13.5" hidden="false" customHeight="true" outlineLevel="0" collapsed="false">
      <c r="C449" s="10" t="s">
        <v>35</v>
      </c>
      <c r="D449" s="10" t="s">
        <v>254</v>
      </c>
      <c r="E449" s="10" t="s">
        <v>4</v>
      </c>
      <c r="F449" s="10" t="s">
        <v>1230</v>
      </c>
      <c r="G449" s="10" t="s">
        <v>68</v>
      </c>
      <c r="H449" s="10" t="s">
        <v>166</v>
      </c>
      <c r="I449" s="10" t="s">
        <v>111</v>
      </c>
      <c r="J449" s="10" t="s">
        <v>1104</v>
      </c>
      <c r="P449" s="10" t="s">
        <v>49</v>
      </c>
      <c r="Q449" s="10" t="n">
        <v>2060.343</v>
      </c>
      <c r="R449" s="10" t="n">
        <v>2060.343</v>
      </c>
      <c r="T449" s="10" t="n">
        <v>0.09</v>
      </c>
      <c r="U449" s="10" t="n">
        <v>0.2</v>
      </c>
      <c r="V449" s="10" t="n">
        <v>0.108</v>
      </c>
      <c r="W449" s="10" t="n">
        <v>0.73</v>
      </c>
      <c r="X449" s="10" t="n">
        <v>0.12</v>
      </c>
      <c r="Y449" s="10" t="n">
        <v>0.8176</v>
      </c>
      <c r="Z449" s="10" t="n">
        <v>1907.0534808</v>
      </c>
    </row>
    <row r="450" customFormat="false" ht="13.5" hidden="false" customHeight="true" outlineLevel="0" collapsed="false">
      <c r="C450" s="10" t="s">
        <v>35</v>
      </c>
      <c r="D450" s="10" t="s">
        <v>254</v>
      </c>
      <c r="E450" s="10" t="s">
        <v>4</v>
      </c>
      <c r="F450" s="10" t="s">
        <v>1230</v>
      </c>
      <c r="G450" s="10" t="s">
        <v>68</v>
      </c>
      <c r="H450" s="10" t="s">
        <v>166</v>
      </c>
      <c r="I450" s="10" t="s">
        <v>111</v>
      </c>
      <c r="J450" s="10" t="s">
        <v>1105</v>
      </c>
      <c r="P450" s="10" t="s">
        <v>49</v>
      </c>
      <c r="Q450" s="10" t="n">
        <v>4568.1168</v>
      </c>
      <c r="R450" s="10" t="n">
        <v>4568.1168</v>
      </c>
      <c r="T450" s="10" t="n">
        <v>0.08</v>
      </c>
      <c r="U450" s="10" t="n">
        <v>0.2</v>
      </c>
      <c r="V450" s="10" t="n">
        <v>0.096</v>
      </c>
      <c r="W450" s="10" t="n">
        <v>0.72</v>
      </c>
      <c r="X450" s="10" t="n">
        <v>0.12</v>
      </c>
      <c r="Y450" s="10" t="n">
        <v>0.8064</v>
      </c>
      <c r="Z450" s="10" t="n">
        <v>4122.26860032</v>
      </c>
    </row>
    <row r="451" customFormat="false" ht="13.5" hidden="false" customHeight="true" outlineLevel="0" collapsed="false">
      <c r="C451" s="10" t="s">
        <v>35</v>
      </c>
      <c r="D451" s="10" t="s">
        <v>254</v>
      </c>
      <c r="E451" s="10" t="s">
        <v>4</v>
      </c>
      <c r="F451" s="10" t="s">
        <v>1230</v>
      </c>
      <c r="G451" s="10" t="s">
        <v>68</v>
      </c>
      <c r="H451" s="10" t="s">
        <v>166</v>
      </c>
      <c r="I451" s="10" t="s">
        <v>1211</v>
      </c>
      <c r="J451" s="10" t="s">
        <v>1123</v>
      </c>
      <c r="P451" s="10" t="s">
        <v>49</v>
      </c>
      <c r="Q451" s="10" t="n">
        <v>436.524397333333</v>
      </c>
      <c r="R451" s="10" t="n">
        <v>436.524397333333</v>
      </c>
      <c r="T451" s="10" t="n">
        <v>0.05</v>
      </c>
      <c r="U451" s="10" t="n">
        <v>0.2</v>
      </c>
      <c r="V451" s="10" t="n">
        <v>0.06</v>
      </c>
      <c r="W451" s="10" t="n">
        <v>1.2</v>
      </c>
      <c r="X451" s="10" t="n">
        <v>0.12</v>
      </c>
      <c r="Y451" s="10" t="n">
        <v>1.344</v>
      </c>
      <c r="Z451" s="10" t="n">
        <v>612.880253856</v>
      </c>
    </row>
    <row r="452" customFormat="false" ht="13.5" hidden="false" customHeight="true" outlineLevel="0" collapsed="false">
      <c r="C452" s="10" t="s">
        <v>35</v>
      </c>
      <c r="D452" s="10" t="s">
        <v>254</v>
      </c>
      <c r="E452" s="10" t="s">
        <v>4</v>
      </c>
      <c r="F452" s="10" t="s">
        <v>1230</v>
      </c>
      <c r="G452" s="10" t="s">
        <v>68</v>
      </c>
      <c r="H452" s="10" t="s">
        <v>170</v>
      </c>
      <c r="I452" s="10" t="s">
        <v>110</v>
      </c>
      <c r="J452" s="10" t="s">
        <v>1109</v>
      </c>
      <c r="P452" s="10" t="s">
        <v>47</v>
      </c>
      <c r="Q452" s="10" t="n">
        <v>39.9</v>
      </c>
      <c r="R452" s="10" t="n">
        <v>39.9</v>
      </c>
      <c r="T452" s="10" t="n">
        <v>10</v>
      </c>
      <c r="U452" s="10" t="n">
        <v>0.2</v>
      </c>
      <c r="V452" s="10" t="n">
        <v>12</v>
      </c>
      <c r="W452" s="10" t="n">
        <v>98</v>
      </c>
      <c r="X452" s="10" t="n">
        <v>0.12</v>
      </c>
      <c r="Y452" s="10" t="n">
        <v>109.76</v>
      </c>
      <c r="Z452" s="10" t="n">
        <v>4858.224</v>
      </c>
    </row>
    <row r="453" customFormat="false" ht="13.5" hidden="false" customHeight="true" outlineLevel="0" collapsed="false">
      <c r="C453" s="10" t="s">
        <v>35</v>
      </c>
      <c r="D453" s="10" t="s">
        <v>254</v>
      </c>
      <c r="E453" s="10" t="s">
        <v>4</v>
      </c>
      <c r="F453" s="10" t="s">
        <v>1230</v>
      </c>
      <c r="G453" s="10" t="s">
        <v>68</v>
      </c>
      <c r="H453" s="10" t="s">
        <v>170</v>
      </c>
      <c r="I453" s="10" t="s">
        <v>153</v>
      </c>
      <c r="J453" s="10" t="s">
        <v>153</v>
      </c>
      <c r="P453" s="10" t="s">
        <v>45</v>
      </c>
      <c r="Q453" s="10" t="n">
        <v>266</v>
      </c>
      <c r="R453" s="10" t="n">
        <v>266</v>
      </c>
      <c r="T453" s="10" t="n">
        <v>6</v>
      </c>
      <c r="U453" s="10" t="n">
        <v>0.2</v>
      </c>
      <c r="V453" s="10" t="n">
        <v>7.2</v>
      </c>
      <c r="W453" s="10" t="n">
        <v>5</v>
      </c>
      <c r="X453" s="10" t="n">
        <v>0.12</v>
      </c>
      <c r="Y453" s="10" t="n">
        <v>5.6</v>
      </c>
      <c r="Z453" s="10" t="n">
        <v>3404.8</v>
      </c>
    </row>
    <row r="454" customFormat="false" ht="13.5" hidden="false" customHeight="true" outlineLevel="0" collapsed="false">
      <c r="C454" s="10" t="s">
        <v>35</v>
      </c>
      <c r="D454" s="10" t="s">
        <v>254</v>
      </c>
      <c r="E454" s="10" t="s">
        <v>4</v>
      </c>
      <c r="F454" s="10" t="s">
        <v>1230</v>
      </c>
      <c r="G454" s="10" t="s">
        <v>68</v>
      </c>
      <c r="H454" s="10" t="s">
        <v>170</v>
      </c>
      <c r="I454" s="10" t="s">
        <v>111</v>
      </c>
      <c r="J454" s="10" t="s">
        <v>1100</v>
      </c>
      <c r="P454" s="10" t="s">
        <v>49</v>
      </c>
      <c r="Q454" s="10" t="n">
        <v>5372</v>
      </c>
      <c r="R454" s="10" t="n">
        <v>5372</v>
      </c>
      <c r="T454" s="10" t="n">
        <v>0.12</v>
      </c>
      <c r="U454" s="10" t="n">
        <v>0.2</v>
      </c>
      <c r="V454" s="10" t="n">
        <v>0.144</v>
      </c>
      <c r="W454" s="10" t="n">
        <v>0.78</v>
      </c>
      <c r="X454" s="10" t="n">
        <v>0.12</v>
      </c>
      <c r="Y454" s="10" t="n">
        <v>0.8736</v>
      </c>
      <c r="Z454" s="10" t="n">
        <v>5466.5472</v>
      </c>
    </row>
    <row r="455" customFormat="false" ht="13.5" hidden="false" customHeight="true" outlineLevel="0" collapsed="false">
      <c r="C455" s="10" t="s">
        <v>35</v>
      </c>
      <c r="D455" s="10" t="s">
        <v>254</v>
      </c>
      <c r="E455" s="10" t="s">
        <v>4</v>
      </c>
      <c r="F455" s="10" t="s">
        <v>1230</v>
      </c>
      <c r="G455" s="10" t="s">
        <v>68</v>
      </c>
      <c r="H455" s="10" t="s">
        <v>170</v>
      </c>
      <c r="I455" s="10" t="s">
        <v>111</v>
      </c>
      <c r="J455" s="10" t="s">
        <v>1101</v>
      </c>
      <c r="P455" s="10" t="s">
        <v>49</v>
      </c>
      <c r="Q455" s="10" t="n">
        <v>99.9</v>
      </c>
      <c r="R455" s="10" t="n">
        <v>99.9</v>
      </c>
      <c r="T455" s="10" t="n">
        <v>0.11</v>
      </c>
      <c r="U455" s="10" t="n">
        <v>0.2</v>
      </c>
      <c r="V455" s="10" t="n">
        <v>0.132</v>
      </c>
      <c r="W455" s="10" t="n">
        <v>0.76</v>
      </c>
      <c r="X455" s="10" t="n">
        <v>0.12</v>
      </c>
      <c r="Y455" s="10" t="n">
        <v>0.8512</v>
      </c>
      <c r="Z455" s="10" t="n">
        <v>98.22168</v>
      </c>
    </row>
    <row r="456" customFormat="false" ht="13.5" hidden="false" customHeight="true" outlineLevel="0" collapsed="false">
      <c r="C456" s="10" t="s">
        <v>35</v>
      </c>
      <c r="D456" s="10" t="s">
        <v>254</v>
      </c>
      <c r="E456" s="10" t="s">
        <v>4</v>
      </c>
      <c r="F456" s="10" t="s">
        <v>1230</v>
      </c>
      <c r="G456" s="10" t="s">
        <v>68</v>
      </c>
      <c r="H456" s="10" t="s">
        <v>170</v>
      </c>
      <c r="I456" s="10" t="s">
        <v>1211</v>
      </c>
      <c r="J456" s="10" t="s">
        <v>1123</v>
      </c>
      <c r="P456" s="10" t="s">
        <v>49</v>
      </c>
      <c r="Q456" s="10" t="n">
        <v>218.876</v>
      </c>
      <c r="R456" s="10" t="n">
        <v>218.876</v>
      </c>
      <c r="T456" s="10" t="n">
        <v>0.05</v>
      </c>
      <c r="U456" s="10" t="n">
        <v>0.2</v>
      </c>
      <c r="V456" s="10" t="n">
        <v>0.06</v>
      </c>
      <c r="W456" s="10" t="n">
        <v>1.2</v>
      </c>
      <c r="X456" s="10" t="n">
        <v>0.12</v>
      </c>
      <c r="Y456" s="10" t="n">
        <v>1.344</v>
      </c>
      <c r="Z456" s="10" t="n">
        <v>307.301904</v>
      </c>
    </row>
    <row r="457" customFormat="false" ht="13.5" hidden="false" customHeight="true" outlineLevel="0" collapsed="false">
      <c r="C457" s="10" t="s">
        <v>35</v>
      </c>
      <c r="D457" s="10" t="s">
        <v>254</v>
      </c>
      <c r="E457" s="10" t="s">
        <v>4</v>
      </c>
      <c r="F457" s="10" t="s">
        <v>1230</v>
      </c>
      <c r="G457" s="10" t="s">
        <v>68</v>
      </c>
      <c r="H457" s="10" t="s">
        <v>1218</v>
      </c>
      <c r="I457" s="10" t="s">
        <v>110</v>
      </c>
      <c r="J457" s="10" t="s">
        <v>1109</v>
      </c>
      <c r="P457" s="10" t="s">
        <v>47</v>
      </c>
      <c r="Q457" s="10" t="n">
        <v>20.05</v>
      </c>
      <c r="R457" s="10" t="n">
        <v>20.05</v>
      </c>
      <c r="T457" s="10" t="n">
        <v>10</v>
      </c>
      <c r="U457" s="10" t="n">
        <v>0.2</v>
      </c>
      <c r="V457" s="10" t="n">
        <v>12</v>
      </c>
      <c r="W457" s="10" t="n">
        <v>98</v>
      </c>
      <c r="X457" s="10" t="n">
        <v>0.12</v>
      </c>
      <c r="Y457" s="10" t="n">
        <v>109.76</v>
      </c>
      <c r="Z457" s="10" t="n">
        <v>2441.288</v>
      </c>
    </row>
    <row r="458" customFormat="false" ht="13.5" hidden="false" customHeight="true" outlineLevel="0" collapsed="false">
      <c r="C458" s="10" t="s">
        <v>35</v>
      </c>
      <c r="D458" s="10" t="s">
        <v>254</v>
      </c>
      <c r="E458" s="10" t="s">
        <v>4</v>
      </c>
      <c r="F458" s="10" t="s">
        <v>1230</v>
      </c>
      <c r="G458" s="10" t="s">
        <v>68</v>
      </c>
      <c r="H458" s="10" t="s">
        <v>1218</v>
      </c>
      <c r="I458" s="10" t="s">
        <v>153</v>
      </c>
      <c r="J458" s="10" t="s">
        <v>153</v>
      </c>
      <c r="P458" s="10" t="s">
        <v>45</v>
      </c>
      <c r="Q458" s="10" t="n">
        <v>118.9</v>
      </c>
      <c r="R458" s="10" t="n">
        <v>118.9</v>
      </c>
      <c r="T458" s="10" t="n">
        <v>6</v>
      </c>
      <c r="U458" s="10" t="n">
        <v>0.2</v>
      </c>
      <c r="V458" s="10" t="n">
        <v>7.2</v>
      </c>
      <c r="W458" s="10" t="n">
        <v>5</v>
      </c>
      <c r="X458" s="10" t="n">
        <v>0.12</v>
      </c>
      <c r="Y458" s="10" t="n">
        <v>5.6</v>
      </c>
      <c r="Z458" s="10" t="n">
        <v>1521.92</v>
      </c>
    </row>
    <row r="459" customFormat="false" ht="13.5" hidden="false" customHeight="true" outlineLevel="0" collapsed="false">
      <c r="C459" s="10" t="s">
        <v>35</v>
      </c>
      <c r="D459" s="10" t="s">
        <v>254</v>
      </c>
      <c r="E459" s="10" t="s">
        <v>4</v>
      </c>
      <c r="F459" s="10" t="s">
        <v>1230</v>
      </c>
      <c r="G459" s="10" t="s">
        <v>68</v>
      </c>
      <c r="H459" s="10" t="s">
        <v>1218</v>
      </c>
      <c r="I459" s="10" t="s">
        <v>111</v>
      </c>
      <c r="J459" s="10" t="s">
        <v>1100</v>
      </c>
      <c r="P459" s="10" t="s">
        <v>49</v>
      </c>
      <c r="Q459" s="10" t="n">
        <v>207.312</v>
      </c>
      <c r="R459" s="10" t="n">
        <v>207.312</v>
      </c>
      <c r="T459" s="10" t="n">
        <v>0.12</v>
      </c>
      <c r="U459" s="10" t="n">
        <v>0.2</v>
      </c>
      <c r="V459" s="10" t="n">
        <v>0.144</v>
      </c>
      <c r="W459" s="10" t="n">
        <v>0.78</v>
      </c>
      <c r="X459" s="10" t="n">
        <v>0.12</v>
      </c>
      <c r="Y459" s="10" t="n">
        <v>0.8736</v>
      </c>
      <c r="Z459" s="10" t="n">
        <v>210.9606912</v>
      </c>
    </row>
    <row r="460" customFormat="false" ht="13.5" hidden="false" customHeight="true" outlineLevel="0" collapsed="false">
      <c r="C460" s="10" t="s">
        <v>35</v>
      </c>
      <c r="D460" s="10" t="s">
        <v>254</v>
      </c>
      <c r="E460" s="10" t="s">
        <v>4</v>
      </c>
      <c r="F460" s="10" t="s">
        <v>1230</v>
      </c>
      <c r="G460" s="10" t="s">
        <v>68</v>
      </c>
      <c r="H460" s="10" t="s">
        <v>1218</v>
      </c>
      <c r="I460" s="10" t="s">
        <v>111</v>
      </c>
      <c r="J460" s="10" t="s">
        <v>1101</v>
      </c>
      <c r="P460" s="10" t="s">
        <v>49</v>
      </c>
      <c r="Q460" s="10" t="n">
        <v>918.5472</v>
      </c>
      <c r="R460" s="10" t="n">
        <v>918.5472</v>
      </c>
      <c r="T460" s="10" t="n">
        <v>0.11</v>
      </c>
      <c r="U460" s="10" t="n">
        <v>0.2</v>
      </c>
      <c r="V460" s="10" t="n">
        <v>0.132</v>
      </c>
      <c r="W460" s="10" t="n">
        <v>0.76</v>
      </c>
      <c r="X460" s="10" t="n">
        <v>0.12</v>
      </c>
      <c r="Y460" s="10" t="n">
        <v>0.8512</v>
      </c>
      <c r="Z460" s="10" t="n">
        <v>903.11560704</v>
      </c>
    </row>
    <row r="461" customFormat="false" ht="13.5" hidden="false" customHeight="true" outlineLevel="0" collapsed="false">
      <c r="C461" s="10" t="s">
        <v>35</v>
      </c>
      <c r="D461" s="10" t="s">
        <v>254</v>
      </c>
      <c r="E461" s="10" t="s">
        <v>4</v>
      </c>
      <c r="F461" s="10" t="s">
        <v>1230</v>
      </c>
      <c r="G461" s="10" t="s">
        <v>68</v>
      </c>
      <c r="H461" s="10" t="s">
        <v>1218</v>
      </c>
      <c r="I461" s="10" t="s">
        <v>111</v>
      </c>
      <c r="J461" s="10" t="s">
        <v>1102</v>
      </c>
      <c r="P461" s="10" t="s">
        <v>49</v>
      </c>
      <c r="Q461" s="10" t="n">
        <v>1436.22</v>
      </c>
      <c r="R461" s="10" t="n">
        <v>1436.22</v>
      </c>
      <c r="T461" s="10" t="n">
        <v>0.1</v>
      </c>
      <c r="U461" s="10" t="n">
        <v>0.2</v>
      </c>
      <c r="V461" s="10" t="n">
        <v>0.12</v>
      </c>
      <c r="W461" s="10" t="n">
        <v>0.75</v>
      </c>
      <c r="X461" s="10" t="n">
        <v>0.12</v>
      </c>
      <c r="Y461" s="10" t="n">
        <v>0.84</v>
      </c>
      <c r="Z461" s="10" t="n">
        <v>1378.7712</v>
      </c>
    </row>
    <row r="462" customFormat="false" ht="13.5" hidden="false" customHeight="true" outlineLevel="0" collapsed="false">
      <c r="C462" s="10" t="s">
        <v>35</v>
      </c>
      <c r="D462" s="10" t="s">
        <v>254</v>
      </c>
      <c r="E462" s="10" t="s">
        <v>4</v>
      </c>
      <c r="F462" s="10" t="s">
        <v>1230</v>
      </c>
      <c r="G462" s="10" t="s">
        <v>68</v>
      </c>
      <c r="H462" s="10" t="s">
        <v>1218</v>
      </c>
      <c r="I462" s="10" t="s">
        <v>111</v>
      </c>
      <c r="J462" s="10" t="s">
        <v>1104</v>
      </c>
      <c r="P462" s="10" t="s">
        <v>49</v>
      </c>
      <c r="Q462" s="10" t="n">
        <v>711.36</v>
      </c>
      <c r="R462" s="10" t="n">
        <v>711.36</v>
      </c>
      <c r="T462" s="10" t="n">
        <v>0.09</v>
      </c>
      <c r="U462" s="10" t="n">
        <v>0.2</v>
      </c>
      <c r="V462" s="10" t="n">
        <v>0.108</v>
      </c>
      <c r="W462" s="10" t="n">
        <v>0.73</v>
      </c>
      <c r="X462" s="10" t="n">
        <v>0.12</v>
      </c>
      <c r="Y462" s="10" t="n">
        <v>0.8176</v>
      </c>
      <c r="Z462" s="10" t="n">
        <v>658.434816</v>
      </c>
    </row>
    <row r="463" customFormat="false" ht="13.5" hidden="false" customHeight="true" outlineLevel="0" collapsed="false">
      <c r="C463" s="10" t="s">
        <v>35</v>
      </c>
      <c r="D463" s="10" t="s">
        <v>254</v>
      </c>
      <c r="E463" s="10" t="s">
        <v>4</v>
      </c>
      <c r="F463" s="10" t="s">
        <v>1230</v>
      </c>
      <c r="G463" s="10" t="s">
        <v>68</v>
      </c>
      <c r="H463" s="10" t="s">
        <v>1218</v>
      </c>
      <c r="I463" s="10" t="s">
        <v>1211</v>
      </c>
      <c r="J463" s="10" t="s">
        <v>1123</v>
      </c>
      <c r="P463" s="10" t="s">
        <v>49</v>
      </c>
      <c r="Q463" s="10" t="n">
        <v>130.937568</v>
      </c>
      <c r="R463" s="10" t="n">
        <v>130.937568</v>
      </c>
      <c r="T463" s="10" t="n">
        <v>0.05</v>
      </c>
      <c r="U463" s="10" t="n">
        <v>0.2</v>
      </c>
      <c r="V463" s="10" t="n">
        <v>0.06</v>
      </c>
      <c r="W463" s="10" t="n">
        <v>1.2</v>
      </c>
      <c r="X463" s="10" t="n">
        <v>0.12</v>
      </c>
      <c r="Y463" s="10" t="n">
        <v>1.344</v>
      </c>
      <c r="Z463" s="10" t="n">
        <v>183.836345472</v>
      </c>
    </row>
    <row r="464" customFormat="false" ht="13.5" hidden="false" customHeight="true" outlineLevel="0" collapsed="false">
      <c r="C464" s="10" t="s">
        <v>35</v>
      </c>
      <c r="D464" s="10" t="s">
        <v>254</v>
      </c>
      <c r="E464" s="10" t="s">
        <v>4</v>
      </c>
      <c r="F464" s="10" t="s">
        <v>1230</v>
      </c>
      <c r="G464" s="10" t="s">
        <v>68</v>
      </c>
      <c r="H464" s="10" t="s">
        <v>175</v>
      </c>
      <c r="I464" s="10" t="s">
        <v>110</v>
      </c>
      <c r="J464" s="10" t="s">
        <v>1109</v>
      </c>
      <c r="P464" s="10" t="s">
        <v>47</v>
      </c>
      <c r="Q464" s="10" t="n">
        <v>38.304</v>
      </c>
      <c r="R464" s="10" t="n">
        <v>31.92</v>
      </c>
      <c r="T464" s="10" t="n">
        <v>10</v>
      </c>
      <c r="U464" s="10" t="n">
        <v>0.2</v>
      </c>
      <c r="V464" s="10" t="n">
        <v>12</v>
      </c>
      <c r="W464" s="10" t="n">
        <v>98</v>
      </c>
      <c r="X464" s="10" t="n">
        <v>0.12</v>
      </c>
      <c r="Y464" s="10" t="n">
        <v>109.76</v>
      </c>
      <c r="Z464" s="10" t="n">
        <v>4663.89504</v>
      </c>
    </row>
    <row r="465" customFormat="false" ht="13.5" hidden="false" customHeight="true" outlineLevel="0" collapsed="false">
      <c r="C465" s="10" t="s">
        <v>35</v>
      </c>
      <c r="D465" s="10" t="s">
        <v>254</v>
      </c>
      <c r="E465" s="10" t="s">
        <v>4</v>
      </c>
      <c r="F465" s="10" t="s">
        <v>1230</v>
      </c>
      <c r="G465" s="10" t="s">
        <v>68</v>
      </c>
      <c r="H465" s="10" t="s">
        <v>175</v>
      </c>
      <c r="I465" s="10" t="s">
        <v>153</v>
      </c>
      <c r="J465" s="10" t="s">
        <v>153</v>
      </c>
      <c r="P465" s="10" t="s">
        <v>45</v>
      </c>
      <c r="Q465" s="10" t="n">
        <v>203.28</v>
      </c>
      <c r="R465" s="10" t="n">
        <v>169.4</v>
      </c>
      <c r="T465" s="10" t="n">
        <v>6</v>
      </c>
      <c r="U465" s="10" t="n">
        <v>0.2</v>
      </c>
      <c r="V465" s="10" t="n">
        <v>7.2</v>
      </c>
      <c r="W465" s="10" t="n">
        <v>5</v>
      </c>
      <c r="X465" s="10" t="n">
        <v>0.12</v>
      </c>
      <c r="Y465" s="10" t="n">
        <v>5.6</v>
      </c>
      <c r="Z465" s="10" t="n">
        <v>2601.984</v>
      </c>
    </row>
    <row r="466" customFormat="false" ht="13.5" hidden="false" customHeight="true" outlineLevel="0" collapsed="false">
      <c r="C466" s="10" t="s">
        <v>35</v>
      </c>
      <c r="D466" s="10" t="s">
        <v>254</v>
      </c>
      <c r="E466" s="10" t="s">
        <v>4</v>
      </c>
      <c r="F466" s="10" t="s">
        <v>1230</v>
      </c>
      <c r="G466" s="10" t="s">
        <v>68</v>
      </c>
      <c r="H466" s="10" t="s">
        <v>175</v>
      </c>
      <c r="I466" s="10" t="s">
        <v>111</v>
      </c>
      <c r="J466" s="10" t="s">
        <v>1100</v>
      </c>
      <c r="P466" s="10" t="s">
        <v>49</v>
      </c>
      <c r="Q466" s="10" t="n">
        <v>1889.9944</v>
      </c>
      <c r="R466" s="10" t="n">
        <v>1619.9952</v>
      </c>
      <c r="T466" s="10" t="n">
        <v>0.12</v>
      </c>
      <c r="U466" s="10" t="n">
        <v>0.2</v>
      </c>
      <c r="V466" s="10" t="n">
        <v>0.144</v>
      </c>
      <c r="W466" s="10" t="n">
        <v>0.78</v>
      </c>
      <c r="X466" s="10" t="n">
        <v>0.12</v>
      </c>
      <c r="Y466" s="10" t="n">
        <v>0.8736</v>
      </c>
      <c r="Z466" s="10" t="n">
        <v>1923.25830144</v>
      </c>
    </row>
    <row r="467" customFormat="false" ht="13.5" hidden="false" customHeight="true" outlineLevel="0" collapsed="false">
      <c r="C467" s="10" t="s">
        <v>35</v>
      </c>
      <c r="D467" s="10" t="s">
        <v>254</v>
      </c>
      <c r="E467" s="10" t="s">
        <v>4</v>
      </c>
      <c r="F467" s="10" t="s">
        <v>1230</v>
      </c>
      <c r="G467" s="10" t="s">
        <v>68</v>
      </c>
      <c r="H467" s="10" t="s">
        <v>175</v>
      </c>
      <c r="I467" s="10" t="s">
        <v>111</v>
      </c>
      <c r="J467" s="10" t="s">
        <v>1104</v>
      </c>
      <c r="P467" s="10" t="s">
        <v>49</v>
      </c>
      <c r="Q467" s="10" t="n">
        <v>4821.5232</v>
      </c>
      <c r="R467" s="10" t="n">
        <v>4172.472</v>
      </c>
      <c r="T467" s="10" t="n">
        <v>0.09</v>
      </c>
      <c r="U467" s="10" t="n">
        <v>0.2</v>
      </c>
      <c r="V467" s="10" t="n">
        <v>0.108</v>
      </c>
      <c r="W467" s="10" t="n">
        <v>0.73</v>
      </c>
      <c r="X467" s="10" t="n">
        <v>0.12</v>
      </c>
      <c r="Y467" s="10" t="n">
        <v>0.8176</v>
      </c>
      <c r="Z467" s="10" t="n">
        <v>4462.80187392</v>
      </c>
    </row>
    <row r="468" customFormat="false" ht="13.5" hidden="false" customHeight="true" outlineLevel="0" collapsed="false">
      <c r="C468" s="10" t="s">
        <v>35</v>
      </c>
      <c r="D468" s="10" t="s">
        <v>254</v>
      </c>
      <c r="E468" s="10" t="s">
        <v>4</v>
      </c>
      <c r="F468" s="10" t="s">
        <v>1230</v>
      </c>
      <c r="G468" s="10" t="s">
        <v>68</v>
      </c>
      <c r="H468" s="10" t="s">
        <v>175</v>
      </c>
      <c r="I468" s="10" t="s">
        <v>1211</v>
      </c>
      <c r="J468" s="10" t="s">
        <v>1123</v>
      </c>
      <c r="P468" s="10" t="s">
        <v>49</v>
      </c>
      <c r="Q468" s="10" t="n">
        <v>231.698688</v>
      </c>
      <c r="R468" s="10" t="n">
        <v>231.698688</v>
      </c>
      <c r="T468" s="10" t="n">
        <v>0.05</v>
      </c>
      <c r="U468" s="10" t="n">
        <v>0.2</v>
      </c>
      <c r="V468" s="10" t="n">
        <v>0.06</v>
      </c>
      <c r="W468" s="10" t="n">
        <v>1.2</v>
      </c>
      <c r="X468" s="10" t="n">
        <v>0.12</v>
      </c>
      <c r="Y468" s="10" t="n">
        <v>1.344</v>
      </c>
      <c r="Z468" s="10" t="n">
        <v>325.304957952</v>
      </c>
    </row>
    <row r="469" customFormat="false" ht="13.5" hidden="false" customHeight="true" outlineLevel="0" collapsed="false">
      <c r="C469" s="10" t="s">
        <v>35</v>
      </c>
      <c r="D469" s="10" t="s">
        <v>254</v>
      </c>
      <c r="E469" s="10" t="s">
        <v>4</v>
      </c>
      <c r="F469" s="10" t="s">
        <v>1230</v>
      </c>
      <c r="G469" s="10" t="s">
        <v>68</v>
      </c>
      <c r="H469" s="10" t="s">
        <v>1231</v>
      </c>
      <c r="I469" s="10" t="s">
        <v>110</v>
      </c>
      <c r="J469" s="10" t="s">
        <v>1109</v>
      </c>
      <c r="P469" s="10" t="s">
        <v>47</v>
      </c>
      <c r="Q469" s="10" t="n">
        <v>15.54</v>
      </c>
      <c r="R469" s="10" t="n">
        <v>15.54</v>
      </c>
      <c r="T469" s="10" t="n">
        <v>10</v>
      </c>
      <c r="U469" s="10" t="n">
        <v>0.2</v>
      </c>
      <c r="V469" s="10" t="n">
        <v>12</v>
      </c>
      <c r="W469" s="10" t="n">
        <v>98</v>
      </c>
      <c r="X469" s="10" t="n">
        <v>0.12</v>
      </c>
      <c r="Y469" s="10" t="n">
        <v>109.76</v>
      </c>
      <c r="Z469" s="10" t="n">
        <v>1892.1504</v>
      </c>
    </row>
    <row r="470" customFormat="false" ht="13.5" hidden="false" customHeight="true" outlineLevel="0" collapsed="false">
      <c r="C470" s="10" t="s">
        <v>35</v>
      </c>
      <c r="D470" s="10" t="s">
        <v>254</v>
      </c>
      <c r="E470" s="10" t="s">
        <v>4</v>
      </c>
      <c r="F470" s="10" t="s">
        <v>1230</v>
      </c>
      <c r="G470" s="10" t="s">
        <v>68</v>
      </c>
      <c r="H470" s="10" t="s">
        <v>1231</v>
      </c>
      <c r="I470" s="10" t="s">
        <v>153</v>
      </c>
      <c r="J470" s="10" t="s">
        <v>153</v>
      </c>
      <c r="P470" s="10" t="s">
        <v>45</v>
      </c>
      <c r="Q470" s="10" t="n">
        <v>129.22</v>
      </c>
      <c r="R470" s="10" t="n">
        <v>129.22</v>
      </c>
      <c r="T470" s="10" t="n">
        <v>6</v>
      </c>
      <c r="U470" s="10" t="n">
        <v>0.2</v>
      </c>
      <c r="V470" s="10" t="n">
        <v>7.2</v>
      </c>
      <c r="W470" s="10" t="n">
        <v>5</v>
      </c>
      <c r="X470" s="10" t="n">
        <v>0.12</v>
      </c>
      <c r="Y470" s="10" t="n">
        <v>5.6</v>
      </c>
      <c r="Z470" s="10" t="n">
        <v>1654.016</v>
      </c>
    </row>
    <row r="471" customFormat="false" ht="13.5" hidden="false" customHeight="true" outlineLevel="0" collapsed="false">
      <c r="C471" s="10" t="s">
        <v>35</v>
      </c>
      <c r="D471" s="10" t="s">
        <v>254</v>
      </c>
      <c r="E471" s="10" t="s">
        <v>4</v>
      </c>
      <c r="F471" s="10" t="s">
        <v>1230</v>
      </c>
      <c r="G471" s="10" t="s">
        <v>68</v>
      </c>
      <c r="H471" s="10" t="s">
        <v>1231</v>
      </c>
      <c r="I471" s="10" t="s">
        <v>111</v>
      </c>
      <c r="J471" s="10" t="s">
        <v>1100</v>
      </c>
      <c r="P471" s="10" t="s">
        <v>49</v>
      </c>
      <c r="Q471" s="10" t="n">
        <v>426.141333333333</v>
      </c>
      <c r="R471" s="10" t="n">
        <v>426.141333333333</v>
      </c>
      <c r="T471" s="10" t="n">
        <v>0.12</v>
      </c>
      <c r="U471" s="10" t="n">
        <v>0.2</v>
      </c>
      <c r="V471" s="10" t="n">
        <v>0.144</v>
      </c>
      <c r="W471" s="10" t="n">
        <v>0.78</v>
      </c>
      <c r="X471" s="10" t="n">
        <v>0.12</v>
      </c>
      <c r="Y471" s="10" t="n">
        <v>0.8736</v>
      </c>
      <c r="Z471" s="10" t="n">
        <v>433.6414208</v>
      </c>
    </row>
    <row r="472" customFormat="false" ht="13.5" hidden="false" customHeight="true" outlineLevel="0" collapsed="false">
      <c r="C472" s="10" t="s">
        <v>35</v>
      </c>
      <c r="D472" s="10" t="s">
        <v>254</v>
      </c>
      <c r="E472" s="10" t="s">
        <v>4</v>
      </c>
      <c r="F472" s="10" t="s">
        <v>1230</v>
      </c>
      <c r="G472" s="10" t="s">
        <v>68</v>
      </c>
      <c r="H472" s="10" t="s">
        <v>1231</v>
      </c>
      <c r="I472" s="10" t="s">
        <v>111</v>
      </c>
      <c r="J472" s="10" t="s">
        <v>1101</v>
      </c>
      <c r="P472" s="10" t="s">
        <v>49</v>
      </c>
      <c r="Q472" s="10" t="n">
        <v>3408.4576</v>
      </c>
      <c r="R472" s="10" t="n">
        <v>3408.4576</v>
      </c>
      <c r="T472" s="10" t="n">
        <v>0.11</v>
      </c>
      <c r="U472" s="10" t="n">
        <v>0.2</v>
      </c>
      <c r="V472" s="10" t="n">
        <v>0.132</v>
      </c>
      <c r="W472" s="10" t="n">
        <v>0.76</v>
      </c>
      <c r="X472" s="10" t="n">
        <v>0.12</v>
      </c>
      <c r="Y472" s="10" t="n">
        <v>0.8512</v>
      </c>
      <c r="Z472" s="10" t="n">
        <v>3351.19551232</v>
      </c>
    </row>
    <row r="473" customFormat="false" ht="13.5" hidden="false" customHeight="true" outlineLevel="0" collapsed="false">
      <c r="C473" s="10" t="s">
        <v>35</v>
      </c>
      <c r="D473" s="10" t="s">
        <v>254</v>
      </c>
      <c r="E473" s="10" t="s">
        <v>4</v>
      </c>
      <c r="F473" s="10" t="s">
        <v>1230</v>
      </c>
      <c r="G473" s="10" t="s">
        <v>68</v>
      </c>
      <c r="H473" s="10" t="s">
        <v>1231</v>
      </c>
      <c r="I473" s="10" t="s">
        <v>111</v>
      </c>
      <c r="J473" s="10" t="s">
        <v>1103</v>
      </c>
      <c r="P473" s="10" t="s">
        <v>49</v>
      </c>
      <c r="Q473" s="10" t="n">
        <v>472.1376</v>
      </c>
      <c r="R473" s="10" t="n">
        <v>472.1376</v>
      </c>
      <c r="T473" s="10" t="n">
        <v>0.1</v>
      </c>
      <c r="U473" s="10" t="n">
        <v>0.2</v>
      </c>
      <c r="V473" s="10" t="n">
        <v>0.12</v>
      </c>
      <c r="W473" s="10" t="n">
        <v>0.74</v>
      </c>
      <c r="X473" s="10" t="n">
        <v>0.12</v>
      </c>
      <c r="Y473" s="10" t="n">
        <v>0.8288</v>
      </c>
      <c r="Z473" s="10" t="n">
        <v>447.96415488</v>
      </c>
    </row>
    <row r="474" customFormat="false" ht="13.5" hidden="false" customHeight="true" outlineLevel="0" collapsed="false">
      <c r="C474" s="10" t="s">
        <v>35</v>
      </c>
      <c r="D474" s="10" t="s">
        <v>254</v>
      </c>
      <c r="E474" s="10" t="s">
        <v>4</v>
      </c>
      <c r="F474" s="10" t="s">
        <v>1230</v>
      </c>
      <c r="G474" s="10" t="s">
        <v>68</v>
      </c>
      <c r="H474" s="10" t="s">
        <v>1231</v>
      </c>
      <c r="I474" s="10" t="s">
        <v>1211</v>
      </c>
      <c r="J474" s="10" t="s">
        <v>1123</v>
      </c>
      <c r="P474" s="10" t="s">
        <v>49</v>
      </c>
      <c r="Q474" s="10" t="n">
        <v>172.269461333333</v>
      </c>
      <c r="R474" s="10" t="n">
        <v>172.269461333333</v>
      </c>
      <c r="T474" s="10" t="n">
        <v>0.05</v>
      </c>
      <c r="U474" s="10" t="n">
        <v>0.2</v>
      </c>
      <c r="V474" s="10" t="n">
        <v>0.06</v>
      </c>
      <c r="W474" s="10" t="n">
        <v>1.2</v>
      </c>
      <c r="X474" s="10" t="n">
        <v>0.12</v>
      </c>
      <c r="Y474" s="10" t="n">
        <v>1.344</v>
      </c>
      <c r="Z474" s="10" t="n">
        <v>241.866323712</v>
      </c>
    </row>
    <row r="475" customFormat="false" ht="13.5" hidden="false" customHeight="true" outlineLevel="0" collapsed="false">
      <c r="C475" s="10" t="s">
        <v>35</v>
      </c>
      <c r="D475" s="10" t="s">
        <v>254</v>
      </c>
      <c r="E475" s="10" t="s">
        <v>4</v>
      </c>
      <c r="F475" s="10" t="s">
        <v>1232</v>
      </c>
      <c r="G475" s="10" t="s">
        <v>68</v>
      </c>
      <c r="H475" s="10" t="s">
        <v>166</v>
      </c>
      <c r="I475" s="10" t="s">
        <v>110</v>
      </c>
      <c r="J475" s="10" t="s">
        <v>1109</v>
      </c>
      <c r="P475" s="10" t="s">
        <v>47</v>
      </c>
      <c r="Q475" s="10" t="n">
        <v>13.342</v>
      </c>
      <c r="R475" s="10" t="n">
        <v>13.342</v>
      </c>
      <c r="T475" s="10" t="n">
        <v>10</v>
      </c>
      <c r="U475" s="10" t="n">
        <v>0.2</v>
      </c>
      <c r="V475" s="10" t="n">
        <v>12</v>
      </c>
      <c r="W475" s="10" t="n">
        <v>98</v>
      </c>
      <c r="X475" s="10" t="n">
        <v>0.12</v>
      </c>
      <c r="Y475" s="10" t="n">
        <v>109.76</v>
      </c>
      <c r="Z475" s="10" t="n">
        <v>1624.52192</v>
      </c>
    </row>
    <row r="476" customFormat="false" ht="13.5" hidden="false" customHeight="true" outlineLevel="0" collapsed="false">
      <c r="C476" s="10" t="s">
        <v>35</v>
      </c>
      <c r="D476" s="10" t="s">
        <v>254</v>
      </c>
      <c r="E476" s="10" t="s">
        <v>4</v>
      </c>
      <c r="F476" s="10" t="s">
        <v>1232</v>
      </c>
      <c r="G476" s="10" t="s">
        <v>68</v>
      </c>
      <c r="H476" s="10" t="s">
        <v>166</v>
      </c>
      <c r="I476" s="10" t="s">
        <v>153</v>
      </c>
      <c r="J476" s="10" t="s">
        <v>153</v>
      </c>
      <c r="P476" s="10" t="s">
        <v>45</v>
      </c>
      <c r="Q476" s="10" t="n">
        <v>113.57</v>
      </c>
      <c r="R476" s="10" t="n">
        <v>113.57</v>
      </c>
      <c r="T476" s="10" t="n">
        <v>6</v>
      </c>
      <c r="U476" s="10" t="n">
        <v>0.2</v>
      </c>
      <c r="V476" s="10" t="n">
        <v>7.2</v>
      </c>
      <c r="W476" s="10" t="n">
        <v>5</v>
      </c>
      <c r="X476" s="10" t="n">
        <v>0.12</v>
      </c>
      <c r="Y476" s="10" t="n">
        <v>5.6</v>
      </c>
      <c r="Z476" s="10" t="n">
        <v>1453.696</v>
      </c>
    </row>
    <row r="477" customFormat="false" ht="13.5" hidden="false" customHeight="true" outlineLevel="0" collapsed="false">
      <c r="C477" s="10" t="s">
        <v>35</v>
      </c>
      <c r="D477" s="10" t="s">
        <v>254</v>
      </c>
      <c r="E477" s="10" t="s">
        <v>4</v>
      </c>
      <c r="F477" s="10" t="s">
        <v>1232</v>
      </c>
      <c r="G477" s="10" t="s">
        <v>68</v>
      </c>
      <c r="H477" s="10" t="s">
        <v>166</v>
      </c>
      <c r="I477" s="10" t="s">
        <v>111</v>
      </c>
      <c r="J477" s="10" t="s">
        <v>1117</v>
      </c>
      <c r="P477" s="10" t="s">
        <v>49</v>
      </c>
      <c r="Q477" s="10" t="n">
        <v>107.44</v>
      </c>
      <c r="R477" s="10" t="n">
        <v>107.44</v>
      </c>
      <c r="T477" s="10" t="n">
        <v>0.12</v>
      </c>
      <c r="U477" s="10" t="n">
        <v>0.2</v>
      </c>
      <c r="V477" s="10" t="n">
        <v>0.144</v>
      </c>
      <c r="W477" s="10" t="n">
        <v>0.77</v>
      </c>
      <c r="X477" s="10" t="n">
        <v>0.12</v>
      </c>
      <c r="Y477" s="10" t="n">
        <v>0.8624</v>
      </c>
      <c r="Z477" s="10" t="n">
        <v>108.127616</v>
      </c>
    </row>
    <row r="478" customFormat="false" ht="13.5" hidden="false" customHeight="true" outlineLevel="0" collapsed="false">
      <c r="C478" s="10" t="s">
        <v>35</v>
      </c>
      <c r="D478" s="10" t="s">
        <v>254</v>
      </c>
      <c r="E478" s="10" t="s">
        <v>4</v>
      </c>
      <c r="F478" s="10" t="s">
        <v>1232</v>
      </c>
      <c r="G478" s="10" t="s">
        <v>68</v>
      </c>
      <c r="H478" s="10" t="s">
        <v>166</v>
      </c>
      <c r="I478" s="10" t="s">
        <v>111</v>
      </c>
      <c r="J478" s="10" t="s">
        <v>1100</v>
      </c>
      <c r="P478" s="10" t="s">
        <v>49</v>
      </c>
      <c r="Q478" s="10" t="n">
        <v>828.183333333333</v>
      </c>
      <c r="R478" s="10" t="n">
        <v>828.183333333333</v>
      </c>
      <c r="T478" s="10" t="n">
        <v>0.12</v>
      </c>
      <c r="U478" s="10" t="n">
        <v>0.2</v>
      </c>
      <c r="V478" s="10" t="n">
        <v>0.144</v>
      </c>
      <c r="W478" s="10" t="n">
        <v>0.78</v>
      </c>
      <c r="X478" s="10" t="n">
        <v>0.12</v>
      </c>
      <c r="Y478" s="10" t="n">
        <v>0.8736</v>
      </c>
      <c r="Z478" s="10" t="n">
        <v>842.75936</v>
      </c>
    </row>
    <row r="479" customFormat="false" ht="13.5" hidden="false" customHeight="true" outlineLevel="0" collapsed="false">
      <c r="C479" s="10" t="s">
        <v>35</v>
      </c>
      <c r="D479" s="10" t="s">
        <v>254</v>
      </c>
      <c r="E479" s="10" t="s">
        <v>4</v>
      </c>
      <c r="F479" s="10" t="s">
        <v>1232</v>
      </c>
      <c r="G479" s="10" t="s">
        <v>68</v>
      </c>
      <c r="H479" s="10" t="s">
        <v>166</v>
      </c>
      <c r="I479" s="10" t="s">
        <v>111</v>
      </c>
      <c r="J479" s="10" t="s">
        <v>1101</v>
      </c>
      <c r="P479" s="10" t="s">
        <v>49</v>
      </c>
      <c r="Q479" s="10" t="n">
        <v>227.8608</v>
      </c>
      <c r="R479" s="10" t="n">
        <v>227.8608</v>
      </c>
      <c r="T479" s="10" t="n">
        <v>0.11</v>
      </c>
      <c r="U479" s="10" t="n">
        <v>0.2</v>
      </c>
      <c r="V479" s="10" t="n">
        <v>0.132</v>
      </c>
      <c r="W479" s="10" t="n">
        <v>0.76</v>
      </c>
      <c r="X479" s="10" t="n">
        <v>0.12</v>
      </c>
      <c r="Y479" s="10" t="n">
        <v>0.8512</v>
      </c>
      <c r="Z479" s="10" t="n">
        <v>224.03273856</v>
      </c>
    </row>
    <row r="480" customFormat="false" ht="13.5" hidden="false" customHeight="true" outlineLevel="0" collapsed="false">
      <c r="C480" s="10" t="s">
        <v>35</v>
      </c>
      <c r="D480" s="10" t="s">
        <v>254</v>
      </c>
      <c r="E480" s="10" t="s">
        <v>4</v>
      </c>
      <c r="F480" s="10" t="s">
        <v>1232</v>
      </c>
      <c r="G480" s="10" t="s">
        <v>68</v>
      </c>
      <c r="H480" s="10" t="s">
        <v>166</v>
      </c>
      <c r="I480" s="10" t="s">
        <v>111</v>
      </c>
      <c r="J480" s="10" t="s">
        <v>1103</v>
      </c>
      <c r="P480" s="10" t="s">
        <v>49</v>
      </c>
      <c r="Q480" s="10" t="n">
        <v>313.0752</v>
      </c>
      <c r="R480" s="10" t="n">
        <v>313.0752</v>
      </c>
      <c r="T480" s="10" t="n">
        <v>0.1</v>
      </c>
      <c r="U480" s="10" t="n">
        <v>0.2</v>
      </c>
      <c r="V480" s="10" t="n">
        <v>0.12</v>
      </c>
      <c r="W480" s="10" t="n">
        <v>0.74</v>
      </c>
      <c r="X480" s="10" t="n">
        <v>0.12</v>
      </c>
      <c r="Y480" s="10" t="n">
        <v>0.8288</v>
      </c>
      <c r="Z480" s="10" t="n">
        <v>297.04574976</v>
      </c>
    </row>
    <row r="481" customFormat="false" ht="13.5" hidden="false" customHeight="true" outlineLevel="0" collapsed="false">
      <c r="C481" s="10" t="s">
        <v>35</v>
      </c>
      <c r="D481" s="10" t="s">
        <v>254</v>
      </c>
      <c r="E481" s="10" t="s">
        <v>4</v>
      </c>
      <c r="F481" s="10" t="s">
        <v>1232</v>
      </c>
      <c r="G481" s="10" t="s">
        <v>68</v>
      </c>
      <c r="H481" s="10" t="s">
        <v>166</v>
      </c>
      <c r="I481" s="10" t="s">
        <v>111</v>
      </c>
      <c r="J481" s="10" t="s">
        <v>1104</v>
      </c>
      <c r="P481" s="10" t="s">
        <v>49</v>
      </c>
      <c r="Q481" s="10" t="n">
        <v>601.704</v>
      </c>
      <c r="R481" s="10" t="n">
        <v>601.704</v>
      </c>
      <c r="T481" s="10" t="n">
        <v>0.09</v>
      </c>
      <c r="U481" s="10" t="n">
        <v>0.2</v>
      </c>
      <c r="V481" s="10" t="n">
        <v>0.108</v>
      </c>
      <c r="W481" s="10" t="n">
        <v>0.73</v>
      </c>
      <c r="X481" s="10" t="n">
        <v>0.12</v>
      </c>
      <c r="Y481" s="10" t="n">
        <v>0.8176</v>
      </c>
      <c r="Z481" s="10" t="n">
        <v>556.9372224</v>
      </c>
    </row>
    <row r="482" customFormat="false" ht="13.5" hidden="false" customHeight="true" outlineLevel="0" collapsed="false">
      <c r="C482" s="10" t="s">
        <v>35</v>
      </c>
      <c r="D482" s="10" t="s">
        <v>254</v>
      </c>
      <c r="E482" s="10" t="s">
        <v>4</v>
      </c>
      <c r="F482" s="10" t="s">
        <v>1232</v>
      </c>
      <c r="G482" s="10" t="s">
        <v>68</v>
      </c>
      <c r="H482" s="10" t="s">
        <v>166</v>
      </c>
      <c r="I482" s="10" t="s">
        <v>111</v>
      </c>
      <c r="J482" s="10" t="s">
        <v>1105</v>
      </c>
      <c r="P482" s="10" t="s">
        <v>49</v>
      </c>
      <c r="Q482" s="10" t="n">
        <v>2780.3248</v>
      </c>
      <c r="R482" s="10" t="n">
        <v>2780.3248</v>
      </c>
      <c r="T482" s="10" t="n">
        <v>0.08</v>
      </c>
      <c r="U482" s="10" t="n">
        <v>0.2</v>
      </c>
      <c r="V482" s="10" t="n">
        <v>0.096</v>
      </c>
      <c r="W482" s="10" t="n">
        <v>0.72</v>
      </c>
      <c r="X482" s="10" t="n">
        <v>0.12</v>
      </c>
      <c r="Y482" s="10" t="n">
        <v>0.8064</v>
      </c>
      <c r="Z482" s="10" t="n">
        <v>2508.96509952</v>
      </c>
    </row>
    <row r="483" customFormat="false" ht="13.5" hidden="false" customHeight="true" outlineLevel="0" collapsed="false">
      <c r="C483" s="10" t="s">
        <v>35</v>
      </c>
      <c r="D483" s="10" t="s">
        <v>254</v>
      </c>
      <c r="E483" s="10" t="s">
        <v>4</v>
      </c>
      <c r="F483" s="10" t="s">
        <v>1232</v>
      </c>
      <c r="G483" s="10" t="s">
        <v>68</v>
      </c>
      <c r="H483" s="10" t="s">
        <v>166</v>
      </c>
      <c r="I483" s="10" t="s">
        <v>1211</v>
      </c>
      <c r="J483" s="10" t="s">
        <v>1123</v>
      </c>
      <c r="P483" s="10" t="s">
        <v>49</v>
      </c>
      <c r="Q483" s="10" t="n">
        <v>194.343525333333</v>
      </c>
      <c r="R483" s="10" t="n">
        <v>194.343525333333</v>
      </c>
      <c r="T483" s="10" t="n">
        <v>0.05</v>
      </c>
      <c r="U483" s="10" t="n">
        <v>0.2</v>
      </c>
      <c r="V483" s="10" t="n">
        <v>0.06</v>
      </c>
      <c r="W483" s="10" t="n">
        <v>1.2</v>
      </c>
      <c r="X483" s="10" t="n">
        <v>0.12</v>
      </c>
      <c r="Y483" s="10" t="n">
        <v>1.344</v>
      </c>
      <c r="Z483" s="10" t="n">
        <v>272.858309568</v>
      </c>
    </row>
    <row r="484" customFormat="false" ht="13.5" hidden="false" customHeight="true" outlineLevel="0" collapsed="false">
      <c r="C484" s="10" t="s">
        <v>35</v>
      </c>
      <c r="D484" s="10" t="s">
        <v>254</v>
      </c>
      <c r="E484" s="10" t="s">
        <v>4</v>
      </c>
      <c r="F484" s="10" t="s">
        <v>1232</v>
      </c>
      <c r="G484" s="10" t="s">
        <v>68</v>
      </c>
      <c r="H484" s="10" t="s">
        <v>170</v>
      </c>
      <c r="I484" s="10" t="s">
        <v>110</v>
      </c>
      <c r="J484" s="10" t="s">
        <v>1109</v>
      </c>
      <c r="P484" s="10" t="s">
        <v>47</v>
      </c>
      <c r="Q484" s="10" t="n">
        <v>22.575</v>
      </c>
      <c r="R484" s="10" t="n">
        <v>22.575</v>
      </c>
      <c r="T484" s="10" t="n">
        <v>10</v>
      </c>
      <c r="U484" s="10" t="n">
        <v>0.2</v>
      </c>
      <c r="V484" s="10" t="n">
        <v>12</v>
      </c>
      <c r="W484" s="10" t="n">
        <v>98</v>
      </c>
      <c r="X484" s="10" t="n">
        <v>0.12</v>
      </c>
      <c r="Y484" s="10" t="n">
        <v>109.76</v>
      </c>
      <c r="Z484" s="10" t="n">
        <v>2748.732</v>
      </c>
    </row>
    <row r="485" customFormat="false" ht="13.5" hidden="false" customHeight="true" outlineLevel="0" collapsed="false">
      <c r="C485" s="10" t="s">
        <v>35</v>
      </c>
      <c r="D485" s="10" t="s">
        <v>254</v>
      </c>
      <c r="E485" s="10" t="s">
        <v>4</v>
      </c>
      <c r="F485" s="10" t="s">
        <v>1232</v>
      </c>
      <c r="G485" s="10" t="s">
        <v>68</v>
      </c>
      <c r="H485" s="10" t="s">
        <v>170</v>
      </c>
      <c r="I485" s="10" t="s">
        <v>153</v>
      </c>
      <c r="J485" s="10" t="s">
        <v>153</v>
      </c>
      <c r="P485" s="10" t="s">
        <v>45</v>
      </c>
      <c r="Q485" s="10" t="n">
        <v>150.5</v>
      </c>
      <c r="R485" s="10" t="n">
        <v>150.5</v>
      </c>
      <c r="T485" s="10" t="n">
        <v>6</v>
      </c>
      <c r="U485" s="10" t="n">
        <v>0.2</v>
      </c>
      <c r="V485" s="10" t="n">
        <v>7.2</v>
      </c>
      <c r="W485" s="10" t="n">
        <v>5</v>
      </c>
      <c r="X485" s="10" t="n">
        <v>0.12</v>
      </c>
      <c r="Y485" s="10" t="n">
        <v>5.6</v>
      </c>
      <c r="Z485" s="10" t="n">
        <v>1926.4</v>
      </c>
    </row>
    <row r="486" customFormat="false" ht="13.5" hidden="false" customHeight="true" outlineLevel="0" collapsed="false">
      <c r="C486" s="10" t="s">
        <v>35</v>
      </c>
      <c r="D486" s="10" t="s">
        <v>254</v>
      </c>
      <c r="E486" s="10" t="s">
        <v>4</v>
      </c>
      <c r="F486" s="10" t="s">
        <v>1232</v>
      </c>
      <c r="G486" s="10" t="s">
        <v>68</v>
      </c>
      <c r="H486" s="10" t="s">
        <v>170</v>
      </c>
      <c r="I486" s="10" t="s">
        <v>111</v>
      </c>
      <c r="J486" s="10" t="s">
        <v>1100</v>
      </c>
      <c r="P486" s="10" t="s">
        <v>49</v>
      </c>
      <c r="Q486" s="10" t="n">
        <v>2934.75</v>
      </c>
      <c r="R486" s="10" t="n">
        <v>2934.75</v>
      </c>
      <c r="T486" s="10" t="n">
        <v>0.12</v>
      </c>
      <c r="U486" s="10" t="n">
        <v>0.2</v>
      </c>
      <c r="V486" s="10" t="n">
        <v>0.144</v>
      </c>
      <c r="W486" s="10" t="n">
        <v>0.78</v>
      </c>
      <c r="X486" s="10" t="n">
        <v>0.12</v>
      </c>
      <c r="Y486" s="10" t="n">
        <v>0.8736</v>
      </c>
      <c r="Z486" s="10" t="n">
        <v>2986.4016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2023-08-11T10:23:59Z</dcterms:created>
  <dc:creator>Pouth Liheng</dc:creator>
  <dc:description/>
  <dc:language>en-US</dc:language>
  <cp:lastModifiedBy>Pouth Liheng</cp:lastModifiedBy>
  <dcterms:modified xsi:type="dcterms:W3CDTF">2026-07-09T04:46:44Z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